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xr:revisionPtr revIDLastSave="0" documentId="8_{058EEA63-180C-4395-8A81-45F829842741}" xr6:coauthVersionLast="47" xr6:coauthVersionMax="47" xr10:uidLastSave="{00000000-0000-0000-0000-000000000000}"/>
  <bookViews>
    <workbookView xWindow="28065" yWindow="870" windowWidth="16950" windowHeight="10950" xr2:uid="{00000000-000D-0000-FFFF-FFFF00000000}"/>
  </bookViews>
  <sheets>
    <sheet name="Solicitud_Mov" sheetId="1" r:id="rId1"/>
    <sheet name="Hoja1" sheetId="4" r:id="rId2"/>
    <sheet name="Hoja2" sheetId="5" r:id="rId3"/>
    <sheet name="Partidas" sheetId="2" state="hidden" r:id="rId4"/>
    <sheet name="EXTRACCION ERP" sheetId="3" state="hidden" r:id="rId5"/>
  </sheets>
  <definedNames>
    <definedName name="_xlnm._FilterDatabase" localSheetId="3" hidden="1">Partidas!$B$2:$B$111</definedName>
    <definedName name="_xlnm._FilterDatabase" localSheetId="0" hidden="1">Solicitud_Mov!$K$2:$K$11</definedName>
    <definedName name="_xlnm.Print_Area" localSheetId="0">Solicitud_Mov!$A$1:$J$42</definedName>
    <definedName name="VALIDACION_PARTIDAS">CATALOGO_PARTIDAS[PARTIDAS]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6" i="1" l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I23" i="4" l="1"/>
  <c r="G23" i="4"/>
  <c r="I25" i="4" l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</calcChain>
</file>

<file path=xl/sharedStrings.xml><?xml version="1.0" encoding="utf-8"?>
<sst xmlns="http://schemas.openxmlformats.org/spreadsheetml/2006/main" count="2582" uniqueCount="2441">
  <si>
    <t>.</t>
  </si>
  <si>
    <t>Obra:</t>
  </si>
  <si>
    <t>0161 - CEDIS WM HUAMANTLA</t>
  </si>
  <si>
    <t>Solicitó:</t>
  </si>
  <si>
    <t>Fecha:</t>
  </si>
  <si>
    <t>Llenar columna según se requiera.</t>
  </si>
  <si>
    <t>Ítem</t>
  </si>
  <si>
    <t>Con cargo a:</t>
  </si>
  <si>
    <t>Código Insumo</t>
  </si>
  <si>
    <t>Breve Descripcion Insumo</t>
  </si>
  <si>
    <t>Partida</t>
  </si>
  <si>
    <t>Cantidad</t>
  </si>
  <si>
    <t>Precio</t>
  </si>
  <si>
    <t>Importe</t>
  </si>
  <si>
    <t>Justificación</t>
  </si>
  <si>
    <t>2 : INDIRECTOS</t>
  </si>
  <si>
    <t>Instrucciones de llenado:</t>
  </si>
  <si>
    <t>Actualización:</t>
  </si>
  <si>
    <t>Utilizar clave para solicitar cambios de precios a insumos.</t>
  </si>
  <si>
    <r>
      <rPr>
        <b/>
        <sz val="10"/>
        <color theme="0" tint="-0.499984740745262"/>
        <rFont val="Calibri"/>
        <family val="2"/>
        <scheme val="minor"/>
      </rPr>
      <t>1. Cargo a.</t>
    </r>
    <r>
      <rPr>
        <sz val="10"/>
        <color theme="0" tint="-0.499984740745262"/>
        <rFont val="Calibri"/>
        <family val="2"/>
        <scheme val="minor"/>
      </rPr>
      <t xml:space="preserve"> Seleccionar según justifique el movimiento.</t>
    </r>
  </si>
  <si>
    <t>Reclasificación:</t>
  </si>
  <si>
    <t>Colocar los insumos afectados, positivo si es aditiva, negatico si es deductiva.</t>
  </si>
  <si>
    <r>
      <rPr>
        <b/>
        <sz val="10"/>
        <color theme="0" tint="-0.499984740745262"/>
        <rFont val="Calibri"/>
        <family val="2"/>
        <scheme val="minor"/>
      </rPr>
      <t>2. Código Insumo.</t>
    </r>
    <r>
      <rPr>
        <sz val="10"/>
        <color theme="0" tint="-0.499984740745262"/>
        <rFont val="Calibri"/>
        <family val="2"/>
        <scheme val="minor"/>
      </rPr>
      <t xml:space="preserve"> Clave que aparece en ERP. De no existir,  escribir la palabra NUEVO.</t>
    </r>
  </si>
  <si>
    <t>Orden de Trabajo:</t>
  </si>
  <si>
    <t>Trabajos adicionales autorizados y cobrables. Mencionar en justificacion # OT</t>
  </si>
  <si>
    <r>
      <rPr>
        <b/>
        <sz val="10"/>
        <color theme="0" tint="-0.499984740745262"/>
        <rFont val="Calibri"/>
        <family val="2"/>
        <scheme val="minor"/>
      </rPr>
      <t xml:space="preserve">3. Partida. </t>
    </r>
    <r>
      <rPr>
        <sz val="10"/>
        <color theme="0" tint="-0.499984740745262"/>
        <rFont val="Calibri"/>
        <family val="2"/>
        <scheme val="minor"/>
      </rPr>
      <t>Según corresponda en estructura de presupuesto.</t>
    </r>
  </si>
  <si>
    <t>Concurso:</t>
  </si>
  <si>
    <t>Omisiones que no clasifiquen como omisión del departamento de presupuestos.</t>
  </si>
  <si>
    <r>
      <rPr>
        <b/>
        <sz val="10"/>
        <color theme="0" tint="-0.499984740745262"/>
        <rFont val="Calibri"/>
        <family val="2"/>
        <scheme val="minor"/>
      </rPr>
      <t>4. Cantidad.</t>
    </r>
    <r>
      <rPr>
        <sz val="10"/>
        <color theme="0" tint="-0.499984740745262"/>
        <rFont val="Calibri"/>
        <family val="2"/>
        <scheme val="minor"/>
      </rPr>
      <t xml:space="preserve"> Colocar el volumen o cantidad de material.</t>
    </r>
  </si>
  <si>
    <t>Detalles en obra (retrabajos, atrasos, daños, robos, mal manejo de recusos, etc.)</t>
  </si>
  <si>
    <r>
      <rPr>
        <b/>
        <sz val="10"/>
        <color theme="0" tint="-0.499984740745262"/>
        <rFont val="Calibri"/>
        <family val="2"/>
        <scheme val="minor"/>
      </rPr>
      <t>5. Precio.</t>
    </r>
    <r>
      <rPr>
        <sz val="10"/>
        <color theme="0" tint="-0.499984740745262"/>
        <rFont val="Calibri"/>
        <family val="2"/>
        <scheme val="minor"/>
      </rPr>
      <t xml:space="preserve"> Colocar precio del insumo según Presupuesto.</t>
    </r>
  </si>
  <si>
    <t>Obra NC:</t>
  </si>
  <si>
    <t>Reposisción de volumen por aplicación de notas de crédito.</t>
  </si>
  <si>
    <r>
      <rPr>
        <b/>
        <sz val="10"/>
        <color theme="0" tint="-0.499984740745262"/>
        <rFont val="Calibri"/>
        <family val="2"/>
        <scheme val="minor"/>
      </rPr>
      <t>6. Importe.</t>
    </r>
    <r>
      <rPr>
        <sz val="10"/>
        <color theme="0" tint="-0.499984740745262"/>
        <rFont val="Calibri"/>
        <family val="2"/>
        <scheme val="minor"/>
      </rPr>
      <t xml:space="preserve"> Resultado de la multiplicacion de la cantidad por el pu (antes de iva). </t>
    </r>
  </si>
  <si>
    <t>Compras:</t>
  </si>
  <si>
    <t>Mala consideración en los cierrres de Compras.</t>
  </si>
  <si>
    <r>
      <rPr>
        <b/>
        <sz val="10"/>
        <color theme="0" tint="-0.499984740745262"/>
        <rFont val="Calibri"/>
        <family val="2"/>
        <scheme val="minor"/>
      </rPr>
      <t>7. Justificacíon</t>
    </r>
    <r>
      <rPr>
        <sz val="10"/>
        <color theme="0" tint="-0.499984740745262"/>
        <rFont val="Calibri"/>
        <family val="2"/>
        <scheme val="minor"/>
      </rPr>
      <t>. Breve descripción justicando el cargo seleccionado.</t>
    </r>
  </si>
  <si>
    <t>Garantía:</t>
  </si>
  <si>
    <t>Cumplimientos de obligaciones por daños o desperfectos de obra.</t>
  </si>
  <si>
    <t>Presupuestos:</t>
  </si>
  <si>
    <t>Materiales o trabajos no considerdos en presupuesto.</t>
  </si>
  <si>
    <t>PARTIDAS</t>
  </si>
  <si>
    <t>1-01-01 : MATERIALES, HERR Y EQ - SEÑALIZACION - ACCESO ETAPA 04</t>
  </si>
  <si>
    <t>A-01-01 : SUBCONTRATOS - PROYECTO EJECUTIVO - GRAL</t>
  </si>
  <si>
    <t>A-02-01 : SUBCONTRATOS - DEMOLICIONES - GRAL</t>
  </si>
  <si>
    <t>A-03-01 : MATERIALES, HERR Y EQ - PRELIMINARES - GRAL</t>
  </si>
  <si>
    <t>A-03-02 : MO - PRELIMINARES - GRAL</t>
  </si>
  <si>
    <t>A-03-03 : SERVICIOS PROFESIONALES - PRELIMINARES - GRAL</t>
  </si>
  <si>
    <t>A-03-04 : SUBCONTRATOS - PRELIMINARES - GRAL</t>
  </si>
  <si>
    <t>A-04-01 : MATERIALES, HERR Y EQ - ESTRUCTURA CONCRETO - GRAL</t>
  </si>
  <si>
    <t>A-04-02 : MO - ESTRUCTURA CONCRETO - GRAL</t>
  </si>
  <si>
    <t>A-05-01 : MATERIALES, HERR Y EQ - ALBAÑILERIAS - GRAL</t>
  </si>
  <si>
    <t>A-05-02 : MO - ALBAÑILERIAS - GRAL</t>
  </si>
  <si>
    <t>A-05-03 : SERVICIOS PROFESIONALES - ALBAÑILERIAS - GRAL</t>
  </si>
  <si>
    <t>A-05-04 : SUBCONTRATOS - ALBAÑILERIAS - GRAL</t>
  </si>
  <si>
    <t>A-06-01 : SUBCONTRATOS - EM - GRAL</t>
  </si>
  <si>
    <t>A-07-01 : MATERIALES, HERR Y EQ - EM - GRAL</t>
  </si>
  <si>
    <t>A-07-02 : MO - EM - GRAL</t>
  </si>
  <si>
    <t>A-07-03 : SUBCONTRATOS - EM - GRAL</t>
  </si>
  <si>
    <t>A-08-01 : MATERIALES, HERR Y EQ - PAVIMENTOS - GRAL</t>
  </si>
  <si>
    <t>A-08-02 : MO - PAVIMENTOS - GRAL</t>
  </si>
  <si>
    <t>A-08-03 : SERVICIOS PROFESIONALES - PAVIMENTOS - GRAL</t>
  </si>
  <si>
    <t>A-08-04 : SUBCONTRATOS - PAVIMENTOS - GRAL</t>
  </si>
  <si>
    <t>A-09-01 : MATERIALES, HERR Y EQ - SEÑALIZACION - GRAL</t>
  </si>
  <si>
    <t>A-09-02 : MO - SEÑALIZACION - GRAL</t>
  </si>
  <si>
    <t>A-09-03 : SUBCONTRATOS - SEÑALIZACION - GRAL</t>
  </si>
  <si>
    <t>A-10-01 : MATERIALES, HERR Y EQ - JARDINERIA - GRAL</t>
  </si>
  <si>
    <t>A-10-02 : MO - JARDINERIA - GRAL</t>
  </si>
  <si>
    <t>A-10-03 : SERVICIOS PROFESIONALES - JARDINERIA - GRAL</t>
  </si>
  <si>
    <t>A-11-01 : MATERIALES, HERR Y EQ - INSTALACIONES - GRAL</t>
  </si>
  <si>
    <t>A-11-02 : MO - INSTALACIONES - GRAL</t>
  </si>
  <si>
    <t>A-11-03 : SERVICIOS PROFESIONALES - INSTALACIONES - GRAL</t>
  </si>
  <si>
    <t>A-11-04 : SUBCONTRATOS - INSTALACIONES - GRAL</t>
  </si>
  <si>
    <t>B-01-03 : B0103</t>
  </si>
  <si>
    <t>B-01-04 : SUBCONTRATOS - PRELIMINARES - NAVE</t>
  </si>
  <si>
    <t>B-02-01 : MATERIALES, HERR Y EQ - CIMENTACION - NAVE</t>
  </si>
  <si>
    <t>B-02-02 : MO - CIMENTACION - NAVE</t>
  </si>
  <si>
    <t>B-02-03 : SUBCONTRATOS - CIMENTACION - NAVE</t>
  </si>
  <si>
    <t>B-03-01 : MATERIALES, HERR Y EQ - ESTRUCTURA DE CONCRETO - NAVE</t>
  </si>
  <si>
    <t>B-03-02 : MO - ESTRUCTURA DE CONCRETO - NAVE</t>
  </si>
  <si>
    <t>B-04-01 : MATERIALES, HERR Y EQ - PISOS - NAVE</t>
  </si>
  <si>
    <t>B-04-02 : MO- PISOS - NAVE</t>
  </si>
  <si>
    <t>B-04-03 : SERVICIOS PROFESIONALES- PISOS - NAVE</t>
  </si>
  <si>
    <t>B-05-01 : MATERIALES, HERR Y EQ - ALBAÑILERIAS - NAVE</t>
  </si>
  <si>
    <t>B-05-02 : MO - ALBAÑILERIAS - NAVE</t>
  </si>
  <si>
    <t>B-05-03 : SERVICIOS PROFESIONALES - ALBAÑILERIAS - NAVE</t>
  </si>
  <si>
    <t>B-05-04 : SUBCONTRATOS - ALBAÑILERIAS - NAVE</t>
  </si>
  <si>
    <t>B-06-01 : SERVICIOS PROFESIONALES - ACABADOS - NAVE</t>
  </si>
  <si>
    <t>B-06-02 : SUBCONTRATOS - ACABADOS - NAVE</t>
  </si>
  <si>
    <t>B-07-01 : SUBCONTRATOS - EM - NAVE</t>
  </si>
  <si>
    <t>B-08-01 : SERVICIOS PROFESIONALES - CUBIERTA - NAVE</t>
  </si>
  <si>
    <t>B-08-02 : SUBCONTRATOS - CUBIERTA - NAVE</t>
  </si>
  <si>
    <t>B-09-01 : SUBCONTRATOS - LAMINA FACHADA - NAVE</t>
  </si>
  <si>
    <t>B-10-01 : SERVICIOS PROFESIONALES - INSTALACIONES - NAVE</t>
  </si>
  <si>
    <t>B-10-02 : SUBCONTRATOS - INSTALACIONES - NAVE</t>
  </si>
  <si>
    <t>C-01-01 : MATERIALES, HERR Y EQ - CIMENTACION - OFICINAS RECIBO</t>
  </si>
  <si>
    <t>C-01-02 : MO - CIMENTACION - OFICINAS RECIBO</t>
  </si>
  <si>
    <t>C-01-03 : SUBCONTRATOS - CIMENTACION - OFICINAS RECIBO</t>
  </si>
  <si>
    <t>C-02-01 : MATERIALES, HERR Y EQ - ESTRUCTURA DE CONCRETO - OFICINAS RECIBO</t>
  </si>
  <si>
    <t>C-02-02 : MO - ESTRUCTURA DE CONCRETO - OFICINAS RECIBO</t>
  </si>
  <si>
    <t>C-03-01 : MATERIALES, HERR Y EQ - PISOS - OFICINAS RECIBO</t>
  </si>
  <si>
    <t>C-03-02 : MO - PISOS - OFICINAS RECIBO</t>
  </si>
  <si>
    <t>C-03-03 : SERVICIOS PROFESIONALES - PISOS - OFICINAS RECIBO</t>
  </si>
  <si>
    <t>C-04-01 : SUBCONTRATOS - PLAFONES - OFICINAS RECIBO</t>
  </si>
  <si>
    <t>C-05-01 : MATERIALES, HERR Y EQ - ALBAÑILERIAS - OFICINAS RECIBO</t>
  </si>
  <si>
    <t>C-05-02 : MO - ALBAÑILERIAS - OFICINAS RECIBO</t>
  </si>
  <si>
    <t>C-05-03 : SUBCONTRATOS - ALBAÑILERIAS - OFICINAS RECIBO</t>
  </si>
  <si>
    <t>C-06-01 : MATERIALES, HERR Y EQ - ACABADOS - OFICINAS RECIBO</t>
  </si>
  <si>
    <t>C-06-02 : MO - ACABADOS - OFICINAS RECIBO</t>
  </si>
  <si>
    <t>C-06-03 : SERVICIOS PROFESIONALES - ACABADOS - OFICINAS RECIBO</t>
  </si>
  <si>
    <t>C-06-04 : SUBCONTRATOS - ACABADOS - OFICINAS RECIBO</t>
  </si>
  <si>
    <t>C-07-01 : SUBCONTRATOS - EM - OFICINAS RECIBO</t>
  </si>
  <si>
    <t>C-08-01 : SERVICIOS PROFESIONALES - CUBIERTA - OFICINAS RECIBO</t>
  </si>
  <si>
    <t>C-09-01 : SUBCONTRATOS - MUEBLES SANITARIOS - OFICINAS RECIBO</t>
  </si>
  <si>
    <t>C-10-01 : MATERIALES, HERR Y EQ - INSTALACIONES - OFICINAS RECIBO</t>
  </si>
  <si>
    <t>C-10-02 : MO - INSTALACIONES - OFICINAS RECIBO</t>
  </si>
  <si>
    <t>C-10-03 : SERVICIOS PROFESIONALES - INSTALACIONES - OFICINAS RECIBO</t>
  </si>
  <si>
    <t>C-10-04 : SUBCONTRATOS - INSTALACIONES - OFICINAS RECIBO</t>
  </si>
  <si>
    <t>D-01-01 : MATERIALES, HERR Y EQ - CIMENTACION - OFICINAS PRINCIPALES</t>
  </si>
  <si>
    <t>D-01-02 : MO - CIMENTACION - OFICINAS PRINCIPALES</t>
  </si>
  <si>
    <t>D-01-03 : SUBCONTRATOS - CIMENTACION - OFICINAS PRINCIPALES</t>
  </si>
  <si>
    <t>D-02-01 : MATERIALES, HERR Y EQ - ESTRUCTURA DE CONCRETO - OFICINAS PRINCIPALES</t>
  </si>
  <si>
    <t>D-02-02 : MO - ESTRUCTURA DE CONCRETO - OFICINAS PRINCIPALES</t>
  </si>
  <si>
    <t>D-02-03 : SERVICIOS PROFESIONALES - ESTRUCTURA DE CONCRETO - OFICINAS PRINCIPALES</t>
  </si>
  <si>
    <t>D-03-01 : MATERIALES, HERR Y EQ - PISOS - OFICINAS PRINCIPALES</t>
  </si>
  <si>
    <t>D-03-02 : MO - PISOS - OFICINAS PRINCIPALES</t>
  </si>
  <si>
    <t>D-03-03 : SERVICIOS PROFESIONALES - PISOS - OFICINAS PRINCIPALES</t>
  </si>
  <si>
    <t>D-04-01 : SUBCONTRATOS - PLAFONES - OFICINAS PRINCIPALES</t>
  </si>
  <si>
    <t>D-05-01 : MATERIALES, HERR Y EQ - ALBAÑILERIAS - OFICINAS PRINCIPALES</t>
  </si>
  <si>
    <t>D-05-02 : MO - ALBAÑILERIAS - OFICINAS PRINCIPALES</t>
  </si>
  <si>
    <t>D-05-03 : SERVICIOS PROFESIONALES - ALBAÑILERIAS - OFICINAS PRINCIPALES</t>
  </si>
  <si>
    <t>D-05-04 : SUBCONTRATOS - ALBAÑILERIAS - OFICINAS PRINCIPALES</t>
  </si>
  <si>
    <t>D-06-01 : MATERIALES, HERR Y EQ - ACABADOS - OFICINAS PRINCIPALES</t>
  </si>
  <si>
    <t>D-06-02 : MO - ACABADOS - OFICINAS PRINCIPALES</t>
  </si>
  <si>
    <t>D-06-03 : SERVICIOS PROFESIONALES - ACABADOS - OFICINAS PRINCIPALES</t>
  </si>
  <si>
    <t>D-06-04 : SUBCONTRATOS - ACABADOS - OFICINAS PRINCIPALES</t>
  </si>
  <si>
    <t>D-07-01 : SUBCONTRATOS - ESTRUCTURA METALICA - OFICINAS PRINCIPALES</t>
  </si>
  <si>
    <t>D-08-01 : SERVICIOS PROFESIONALES - CUBIERTA - OFICINAS PRINCIPALES</t>
  </si>
  <si>
    <t>D-08-02 : SUBCONTRATOS - CUBIERTA - OFICINAS PRINCIPALES</t>
  </si>
  <si>
    <t>D-09-01 : SUBCONTRATOS - LAMINA FACHADA - OFICINAS PRINCIPALES</t>
  </si>
  <si>
    <t>D-10-01 : SUBCONTRATOS - MUEBLES SANITARIOS - OFICINAS PRINCIPALES</t>
  </si>
  <si>
    <t>D-11-01 : SERVICIOS PROFESIONALES - INSTALACIONES - OFICINAS PRINCIPALES</t>
  </si>
  <si>
    <t>D-11-02 : SUBCONTRATOS - INSTALACIONES - OFICINAS PRINCIPALES</t>
  </si>
  <si>
    <t>E-01-01 : SUBCONTRATOS
 - PRELIMINARES - TARIMAS</t>
  </si>
  <si>
    <t>E-02-01 : MATERIALES, HERR Y EQ - CIMENTACION - TARIMAS</t>
  </si>
  <si>
    <t>E-02-02 : MO - CIMENTACION - TARIMAS</t>
  </si>
  <si>
    <t>E-02-03 : SUBCONTRATOS
 - CIMENTACION - TARIMAS</t>
  </si>
  <si>
    <t>E-03-01 : MATERIALES, HERR Y EQ - ESTRUCTURA DE CONCRETO - TARIMAS</t>
  </si>
  <si>
    <t>E-03-02 : MO - ESTRUCTURA DE CONCRETO - TARIMAS</t>
  </si>
  <si>
    <t>E-04-01 : MATERIALES, HERR Y EQ - PISOS - TARIMAS</t>
  </si>
  <si>
    <t>E-04-02 : MO - PISOS - TARIMAS</t>
  </si>
  <si>
    <t>E-04-03 : SERVICIOS PROFESIONALES - PISOS - TARIMAS</t>
  </si>
  <si>
    <t>E-05-01 : SUBCONTRATOS - PLAFONES - TARIMAS</t>
  </si>
  <si>
    <t>E-06-01 : MATERIALES, HERR Y EQ - ALBAÑILERIAS - TARIMAS</t>
  </si>
  <si>
    <t>E-06-02 : MO - ALBAÑILERIAS - TARIMAS</t>
  </si>
  <si>
    <t>E-06-03 : SERVICIOS PROFESIONALES - ALBAÑILERIAS - TARIMAS</t>
  </si>
  <si>
    <t>E-06-04 : SUBCONTRATOS - ALBAÑILERIAS - TARIMAS</t>
  </si>
  <si>
    <t>E-07-01 : MATERIALES, HERR Y EQ - ACABADOS - TARIMAS</t>
  </si>
  <si>
    <t>E-07-02 : MO - ACABADOS - TARIMAS</t>
  </si>
  <si>
    <t>E-07-03 : SERVICIOS PROFESIONALES - ACABADOS - TARIMAS</t>
  </si>
  <si>
    <t>E-07-04 : SUBCONTRATOS - ACABADOS - TARIMAS</t>
  </si>
  <si>
    <t>E-08-01 : SUBCONTRATOS - ESTRUCTURA METALICA - TARIMAS</t>
  </si>
  <si>
    <t>E-09-01 : SUBCONTRATOS - CUBIERTAS - TARIMAS</t>
  </si>
  <si>
    <t>E-10-01 : SUBCONTRATOS - LAMINAS FACHADAS - TARIMAS</t>
  </si>
  <si>
    <t>E-11-01 : SUBCONTRATOS - MUEBLES SANITARIOS - TARIMAS</t>
  </si>
  <si>
    <t>E-12-01 : SERVICIOS PROFESIONALES - INSTALACIONES - TARIMAS</t>
  </si>
  <si>
    <t>E-12-02 : SUBCONTRATOS - INSTALACIONES - TARIMAS</t>
  </si>
  <si>
    <t>F-01-01 : MATERIALES, HERR Y EQ - CIMENTACION - CASETA ASOCIADOS</t>
  </si>
  <si>
    <t>F-01-02 : MO - CIMENTACION - CASETA ASOCIADOS</t>
  </si>
  <si>
    <t>F-01-03 : SUBCONTRATOS - CIMENTACION - CASETA ASOCIADOS</t>
  </si>
  <si>
    <t>F-02-01 : MATERIALES, HERR Y EQ - PISOS - CASETA ASOCIADOS</t>
  </si>
  <si>
    <t>F-02-02 : MO - PISOS - CASETA ASOCIADOS</t>
  </si>
  <si>
    <t>F-02-03 : SERVICIOS PROFESIONALES - PISOS - CASETA ASOCIADOS</t>
  </si>
  <si>
    <t>F-03-01 : SUBCONTRATOS - PISOS - CASETA ASOCIADOS</t>
  </si>
  <si>
    <t>F-04-01 : MATERIALES, HERR Y EQ - ALBAÑILERIAS - CASETA ASOCIADOS</t>
  </si>
  <si>
    <t>F-04-02 : MO - ALBAÑILERIAS - CASETA ASOCIADOS</t>
  </si>
  <si>
    <t>F-04-03 : SERVICIOS PROFESIONALES - ALBAÑILERIAS - CASETA ASOCIADOS</t>
  </si>
  <si>
    <t>F-04-04 : SUBCONTRATOS - ALBAÑILERIAS - CASETA ASOCIADOS</t>
  </si>
  <si>
    <t>F-05-01 : MATERIALES, HERR Y EQ - ACABADOS - CASETA ASOCIADOS</t>
  </si>
  <si>
    <t>F-05-02 : MO - ACABADOS - CASETA ASOCIADOS</t>
  </si>
  <si>
    <t>F-05-03 : SERVICIOS PROFESIONALES - ACABADOS - CASETA ASOCIADOS</t>
  </si>
  <si>
    <t>F-05-04 : SUBCONTRATOS - ACABADOS - CASETA ASOCIADOS</t>
  </si>
  <si>
    <t>F-06-01 : SUBCONTRATOS - ESTRUCTURA METALICA - CASETA ASOCIADOS</t>
  </si>
  <si>
    <t>F-07-01 : SUBCONTRATOS - CUBIERTAS - CASETA ASOCIADOS</t>
  </si>
  <si>
    <t>F-08-01 : SUBCONTRATOS - LAMINA FACHADAS - CASETA ASOCIADOS</t>
  </si>
  <si>
    <t>F-09-01 : SUBCONTRATOS - MUEBLES SANITARIOS - CASETA ASOCIADOS</t>
  </si>
  <si>
    <t>F-10-01 : SERVICIOS PROFESIONALES - INSTALACIONES - CASETA ASOCIADOS</t>
  </si>
  <si>
    <t>F-10-02 : SUBCONTRATOS - INSTALACIONES - CASETA ASOCIADOS</t>
  </si>
  <si>
    <t>G-01-01 : MATERIALES, HERR Y EQ - CIMENTACION - OFICINAS EMBARQUE</t>
  </si>
  <si>
    <t>G-01-02 : MO - CIMENTACION - OFICINAS EMBARQUE</t>
  </si>
  <si>
    <t>G-01-03 : SUBCONTRATOS - CIMENTACION - OFICINAS EMBARQUE</t>
  </si>
  <si>
    <t>G-02-01 : MATERIALES, HERR Y EQ - ESTRUCTURA DE CONCRETO - OFICINAS EMBARQUE</t>
  </si>
  <si>
    <t>G-02-02 : MO - ESTRUCTURA DE CONCRETO - OFICINAS EMBARQUE</t>
  </si>
  <si>
    <t>G-03-01 : MATERIALES, HERR Y EQ - PISOS - OFICINAS EMBARQUE</t>
  </si>
  <si>
    <t>G-03-02 : MO - PISOS - OFICINAS EMBARQUE</t>
  </si>
  <si>
    <t>G-03-03 : SERVICIOS PROFESIONALES - PISOS - OFICINAS EMBARQUE</t>
  </si>
  <si>
    <t>G-04-01 : SUBCONTRATOS - PLAFONES - OFICINAS EMBARQUE</t>
  </si>
  <si>
    <t>G-05-01 : MATERIALES, HERR Y EQ - ALBAÑILERIAS - OFICINAS EMBARQUE</t>
  </si>
  <si>
    <t>G-05-02 : MO - ALBAÑILERIAS - OFICINAS EMBARQUE</t>
  </si>
  <si>
    <t>G-05-03 : SERVICIOS PROFESIONALES - ALBAÑILERIAS - OFICINAS EMBARQUE</t>
  </si>
  <si>
    <t>G-05-04 : SUBCONTRATOS - ALBAÑILERIAS - OFICINAS EMBARQUE</t>
  </si>
  <si>
    <t>G-06-01 : MATERIALES, HERR Y EQ - ACABADOS - OFICINAS EMBARQUE</t>
  </si>
  <si>
    <t>G-06-02 : MO - ACABADOS - OFICINAS EMBARQUE</t>
  </si>
  <si>
    <t>G-06-03 : SERVICIOS PROFESIONALES - ACABADOS - OFICINAS EMBARQUE</t>
  </si>
  <si>
    <t>G-06-04 : SUBCONTRATOS  - ACABADOS - OFICINAS EMBARQUE</t>
  </si>
  <si>
    <t>G-07-01 : SUBCONTRATOS - EM - OFICINAS EMBARQUE</t>
  </si>
  <si>
    <t>G-08-01 : SERVICIOS PROFESIONALES - CUBIERTA - OFICINAS EMBARQUE</t>
  </si>
  <si>
    <t>G-09-01 : SUBCONTRATOS - MUEBLES SANITARIOS - OFICINAS EMBARQUE</t>
  </si>
  <si>
    <t>G-10-01 : MATERIALES, HERR Y EQ - INSTALACIONES - OFICINAS EMBARQUE</t>
  </si>
  <si>
    <t>G-10-02 : MO - INSTALACIONES - OFICINAS EMBARQUE</t>
  </si>
  <si>
    <t>G-10-03 : SERVICIOS PROFESIONALES - INSTALACIONES - OFICINAS EMBARQUE</t>
  </si>
  <si>
    <t>G-10-04 : SUBCONTRATOS - INSTALACIONES - OFICINAS EMBARQUE</t>
  </si>
  <si>
    <t>H-01-01 : MATERIALES, HERR Y EQ - CIMENTACION - TMG</t>
  </si>
  <si>
    <t>H-01-02 : MO - CIMENTACION - TMG</t>
  </si>
  <si>
    <t>H-01-03 : SUBCONTRATOS - CIMENTACION - TMG</t>
  </si>
  <si>
    <t>H-02-01 : MATERIALES, HERR Y EQ - PISOS - TMG</t>
  </si>
  <si>
    <t>H-02-02 : MO - PISOS - TMG</t>
  </si>
  <si>
    <t>H-02-03 : SERVICIOS PROFESIONALES - PISOS - TMG</t>
  </si>
  <si>
    <t>H-02-04 : SUBCONTRATOS - PISOS - TMG</t>
  </si>
  <si>
    <t>H-03-01 : MATERIALES, HERR Y EQ - ALBAÑILERIAS - TMG</t>
  </si>
  <si>
    <t>H-03-02 : MO - ALBAÑILERIAS - TMG</t>
  </si>
  <si>
    <t>H-03-03 : SERVICIOS PROFESIONALES - ALBAÑILERIAS - TMG</t>
  </si>
  <si>
    <t>H-03-04 : SUBCONTRATOS - ALBAÑILERIAS - TMG</t>
  </si>
  <si>
    <t>H-04-01 : MATERIALES, HERR Y EQ - ACABADOS - TMG</t>
  </si>
  <si>
    <t>H-04-02 : MO - ACABADOS - TMG</t>
  </si>
  <si>
    <t>H-04-03 : SERVICIOS PROFESIONALES - ACABADOS - TMG</t>
  </si>
  <si>
    <t>H-04-04 : SUBCONTRATOS - ACABADOS - TMG</t>
  </si>
  <si>
    <t>H-05-01 : SUBCONTRATOS - EM - TMG</t>
  </si>
  <si>
    <t>H-06-01 : SUBCONTRATOS - CUBIERTAS - TMG</t>
  </si>
  <si>
    <t>H-07-01 : SUBCONTRATOS - LAMINA FACHADA - TMG</t>
  </si>
  <si>
    <t>H-08-01 : SUBCONTRATOS - MUEBLES BAÑO - TMG</t>
  </si>
  <si>
    <t>H-09-01 : SERVICIOS PROFESIONALES - INSTALACIONES - TMG</t>
  </si>
  <si>
    <t>H-09-02 : SUBCONTRATOS - INSTALACIONES - TMG</t>
  </si>
  <si>
    <t>I-01-01 : MATERIALES, HERR Y EQ - CIMENTACION - CASETA ACCESO TRAILERS</t>
  </si>
  <si>
    <t>I-01-02 : MO - CIMENTACION - CASETA ACCESO TRAILERS</t>
  </si>
  <si>
    <t>I-01-03 : SUBCONTRATOS - CIMENTACION - CASETA ACCESO TRAILERS</t>
  </si>
  <si>
    <t>I-02-01 : MATERIALES, HERR Y EQ - PISOS - CASETA ACCESO TRAILERS</t>
  </si>
  <si>
    <t>I-02-02 : MO - PISOS - CASETA ACCESO TRAILERS</t>
  </si>
  <si>
    <t>I-02-03 : SERVICIOS PROFESIONALES
 - PISOS - CASETA ACCESO TRAILERS</t>
  </si>
  <si>
    <t>I-03-01 : SUBCONTRATOS - PLAFONES - CASETA ACCESO TRAILERS</t>
  </si>
  <si>
    <t>I-04-01 : MATERIALES, HERR Y EQ - ALBAÑILERIAS - CASETA ACCESO TRAILERS</t>
  </si>
  <si>
    <t>I-04-02 : MO - ALBAÑILERIAS - CASETA ACCESO TRAILERS</t>
  </si>
  <si>
    <t>I-04-03 : SERVICIOS PROFESIONALES - ALBAÑILERIAS - CASETA ACCESO TRAILERS</t>
  </si>
  <si>
    <t>I-04-04 : SUBCONTRATOS - ALBAÑILERIAS - CASETA ACCESO TRAILERS</t>
  </si>
  <si>
    <t>I-05-01 : MATERIALES, HERR Y EQ - ACABADOS - CASETA ACCESO TRAILERS</t>
  </si>
  <si>
    <t>I-05-02 : MO - ACABADOS - CASETA ACCESO TRAILERS</t>
  </si>
  <si>
    <t>I-05-03 : SERVICIOS PROFESIONALES - ACABADOS - CASETA ACCESO TRAILERS</t>
  </si>
  <si>
    <t>I-05-04 : SUBCONTRATOS - ACABADOS - CASETA ACCESO TRAILERS</t>
  </si>
  <si>
    <t>I-06-01 : MATERIALES, HERR Y EQ - ESTRUCTURA MAMPOSTERIA - CASETA ACCESO TRAILERS</t>
  </si>
  <si>
    <t>I-06-02 : MO - ESTRUCTURA MAMPOSTERIA - CASETA ACCESO TRAILERS</t>
  </si>
  <si>
    <t>I-07-01 : SUBCONTRATOS - ESTRUCTURA METALICA - CASETA ACCESO TRAILERS</t>
  </si>
  <si>
    <t>I-08-01 : SUBCONTRATOS - CUBIERTAS - CASETA ACCESO TRAILERS</t>
  </si>
  <si>
    <t>I-09-01 : SUBCONTRATOS - MUEBLES DE BAÑO - CASETA ACCESO TRAILERS</t>
  </si>
  <si>
    <t>I-10-01 : SERVICIOS PROFESIONALES - INSTALACIONES - CASETA ACCESO TRAILERS</t>
  </si>
  <si>
    <t>I-10-02 : SUBCONTRATOS - INSTALACIONES - CASETA ACCESO TRAILERS</t>
  </si>
  <si>
    <t>J-01-01 : MATERIALES, HERR Y EQ - CIMENTACION - BASCULA</t>
  </si>
  <si>
    <t>J-01-02 : MO - CIMENTACION - BASCULA</t>
  </si>
  <si>
    <t>J-02-01 : MATERIALES, HERR Y EQ - PISOS - BASCULA</t>
  </si>
  <si>
    <t>J-02-02 : MO - PISOS - BASCULA</t>
  </si>
  <si>
    <t>J-02-03 : SERVICIOS PROFESIONALES - PISOS - BASCULA</t>
  </si>
  <si>
    <t>J-03-01 : MATERIALES, HERR Y EQ - ALBAÑILERIAS - BASCULA</t>
  </si>
  <si>
    <t>J-03-02 : MO - ALBAÑILERIAS - BASCULA</t>
  </si>
  <si>
    <t>J-03-03 : SERVICIOS PROFESIONALES - ALBAÑILERIAS - BASCULA</t>
  </si>
  <si>
    <t>J-03-04 : SUBCONTRATOS - ALBAÑILERIAS - BASCULA</t>
  </si>
  <si>
    <t>J-04-01 : SUBCONTRATOS - ACABADOS - BASCULA</t>
  </si>
  <si>
    <t>J-05-01 : MATERIALES, HERR Y EQ - ESTRUCTURA MAMPOSTERIA - BASCULA</t>
  </si>
  <si>
    <t>J-05-02 : MO - ESTRUCTURA MAMPOSTERIA - BASCULA</t>
  </si>
  <si>
    <t>J-06-01 : SUBCONTRATOS - EM - BASCULA</t>
  </si>
  <si>
    <t>J-07-01 : SUBCONTRATOS - CUBIERTAS - BASCULA</t>
  </si>
  <si>
    <t>J-08-01 : SUBCONTRATOS - INSTALACIONES - BASCULA</t>
  </si>
  <si>
    <t>K-01-01 : MATERIALES, HERR Y EQ - CIMENTACION - AREA DE DESCANSO</t>
  </si>
  <si>
    <t>K-01-02 : MO - CIMENTACION - AREA DE DESCANSO</t>
  </si>
  <si>
    <t>K-01-03 : SUBCONTRATOS - CIMENTACION - AREA DE DESCANSO</t>
  </si>
  <si>
    <t>K-02-01 : MATERIALES, HERR Y EQ - PISOS - AREA DE DESCANSO</t>
  </si>
  <si>
    <t>K-02-02 : MO - PISOS - AREA DE DESCANSO</t>
  </si>
  <si>
    <t>K-02-03 : SERVICIOS PROFESIONALES - PISOS - AREA DE DESCANSO</t>
  </si>
  <si>
    <t>K-03-01 : SUBCONTRATOS - PLAFONES - AREA DE DESCANSO</t>
  </si>
  <si>
    <t>K-04-01 : MATERIALES, HERR Y EQ - ALBAÑILERIAS - AREA DE DESCANSO</t>
  </si>
  <si>
    <t>K-04-02 : MO - ALBAÑILERIAS - AREA DE DESCANSO</t>
  </si>
  <si>
    <t>K-04-03 : SERVICIOS PROFESIONALES - ALBAÑILERIAS - AREA DE DESCANSO</t>
  </si>
  <si>
    <t>K-04-04 : SUBCONTRATOS - ALBAÑILERIAS - AREA DE DESCANSO</t>
  </si>
  <si>
    <t>K-05-01 : MATERIALES, HERR Y EQ - ACABADOS - AREA DE DESCANSO</t>
  </si>
  <si>
    <t>K-05-02 : MO - ACABADOS - AREA DE DESCANSO</t>
  </si>
  <si>
    <t>K-05-03 : SERVICIOS PROFESIONALES - ACABADOS - AREA DE DESCANSO</t>
  </si>
  <si>
    <t>K-05-04 : SUBCONTRATOS - ACABADOS - AREA DE DESCANSO</t>
  </si>
  <si>
    <t>K-06-01 : SUBCONTRATOS - EM - AREA DE DESCANSO</t>
  </si>
  <si>
    <t>K-07-01 : SUBCONTRATOS - CUBIERTAS - AREA DE DESCANSO</t>
  </si>
  <si>
    <t>K-08-01 : SUBCONTRATOS - LAMINA FACHADA - AREA DE DESCANSO</t>
  </si>
  <si>
    <t>K-09-01 : SUBCONTRATOS - MUEBLES BAÑO - AREA DE DESCANSO</t>
  </si>
  <si>
    <t>K-10-01 : SERVICIOS PROFESIONALES - INSTALACIONES - AREA DE DESCANSO</t>
  </si>
  <si>
    <t>K-10-02 : SUBCONTRATOS - INSTALACIONES - AREA DE DESCANSO</t>
  </si>
  <si>
    <t>L-01-01 : MATERIALES, HERR Y EQ - CIMENTACION - CASETA SALIDA TRAILERS</t>
  </si>
  <si>
    <t>L-01-02 : MO - CIMENTACION - CASETA SALIDA TRAILERS</t>
  </si>
  <si>
    <t>L-01-03 : SUBCONTRATOS - CIMENTACION - CASETA SALIDA TRAILERS</t>
  </si>
  <si>
    <t>L-02-01 : MATERIALES, HERR Y EQ - PISOS - CASETA SALIDA TRAILERS</t>
  </si>
  <si>
    <t>L-02-02 : MO - PISOS - CASETA SALIDA TRAILERS</t>
  </si>
  <si>
    <t>L-02-03 : SERVICIOS PROFESIONALES - PISOS - CASETA SALIDA TRAILERS</t>
  </si>
  <si>
    <t>L-03-01 : SUBCONTRATOS - PLAFONES - CASETA SALIDA TRAILERS</t>
  </si>
  <si>
    <t>L-04-01 : MATERIALES, HERR Y EQ - ALBAÑILERIAS - CASETA SALIDA TRAILERS</t>
  </si>
  <si>
    <t>L-04-02 : MO - ALBAÑILERIAS - CASETA SALIDA TRAILERS</t>
  </si>
  <si>
    <t>L-04-03 : SUBCONTRATOS - ALBAÑILERIAS - CASETA SALIDA TRAILERS</t>
  </si>
  <si>
    <t>L-05-01 : MATERIALES, HERR Y EQ - ACABADOS - CASETA SALIDA TRAILERS</t>
  </si>
  <si>
    <t>L-05-02 : MO - ACABADOS - CASETA SALIDA TRAILERS</t>
  </si>
  <si>
    <t>L-05-03 : SERVICIOS PROFESIONALES - ACABADOS - CASETA SALIDA TRAILERS</t>
  </si>
  <si>
    <t>L-05-04 : SUBCONTRATOS - ACABADOS - CASETA SALIDA TRAILERS</t>
  </si>
  <si>
    <t>L-06-01 : MATERIALES, HERR Y EQ - ESTRUCTURA MAMPOSTERIA - CASETA SALIDA TRAILERS</t>
  </si>
  <si>
    <t>L-06-02 : MO - ESTRUCTURA MAMPOSTERIA - CASETA SALIDA TRAILERS</t>
  </si>
  <si>
    <t>L-06-03 : SUBCONTRATOS - ESTRUCTURA MAMPOSTERIA - CASETA SALIDA TRAILERS</t>
  </si>
  <si>
    <t>L-07-01 : SUBCONTRATOS - EM - CASETA SALIDA TRAILERS</t>
  </si>
  <si>
    <t>L-08-01 : SUBCONTRATOS - CUBIERTAS  - CASETA SALIDA TRAILERS</t>
  </si>
  <si>
    <t>L-09-01 : SUBCONTRATOS - LAMINA FACHADA  - CASETA SALIDA TRAILERS</t>
  </si>
  <si>
    <t>L-10-01 : SERVICIOS PROFESIONALES - INSTALACIONES  - CASETA SALIDA TRAILERS</t>
  </si>
  <si>
    <t>L-10-02 : SUBCONTRATOS - INSTALACIONES  - CASETA SALIDA TRAILERS</t>
  </si>
  <si>
    <t>M-01-01 : MATERIALES, HERR Y EQ - CIMENTACION - SANITARIOS EXTERIORES</t>
  </si>
  <si>
    <t>M-01-02 : MO - CIMENTACION - SANITARIOS EXTERIORES</t>
  </si>
  <si>
    <t>M-01-03 : SUBCONTRATOS - CIMENTACION - SANITARIOS EXTERIORES</t>
  </si>
  <si>
    <t>M-02-01 : MATERIALES, HERR Y EQ - PISOS - SANITARIOS EXTERIORES</t>
  </si>
  <si>
    <t>M-02-02 : MO - PISOS - SANITARIOS EXTERIORES</t>
  </si>
  <si>
    <t>M-02-03 : SERVICIOS PROFESIONALES - PISOS - SANITARIOS EXTERIORES</t>
  </si>
  <si>
    <t>M-03-01 : SUBCONTRATOS - PLAFONES - SANITARIOS EXTERIORES</t>
  </si>
  <si>
    <t>M-04-01 : MATERIALES, HERR Y EQ - ALBAÑILERIAS - SANITARIOS EXTERIORES</t>
  </si>
  <si>
    <t>M-04-02 : MO - ALBAÑILERIAS - SANITARIOS EXTERIORES</t>
  </si>
  <si>
    <t>M-04-03 : SUBCONTRATOS - ALBAÑILERIAS - SANITARIOS EXTERIORES</t>
  </si>
  <si>
    <t>M-05-01 : MATERIALES, HERR Y EQ - ACABADOS - SANITARIOS EXTERIORES</t>
  </si>
  <si>
    <t>M-05-02 : MO - ACABADOS - SANITARIOS EXTERIORES</t>
  </si>
  <si>
    <t>M-05-03 : SERVICIOS PROFESIONALES - ACABADOS - SANITARIOS EXTERIORES</t>
  </si>
  <si>
    <t>M-05-04 : SUBCONTRATOS  - ACABADOS - SANITARIOS EXTERIORES</t>
  </si>
  <si>
    <t>M-06-01 : SUBCONTRATOS - EM - SANITARIOS EXTERIORES</t>
  </si>
  <si>
    <t>M-07-01 : SUBCONTRATOS - CUBIERTAS - SANITARIOS EXTERIORES</t>
  </si>
  <si>
    <t>M-08-01 : SUBCONTRATOS - LAMINA FACHADA - SANITARIOS EXTERIORES</t>
  </si>
  <si>
    <t>M-09-01 : SUBCONTRATOS - MUEBLES DE BAÑO - SANITARIOS EXTERIORES</t>
  </si>
  <si>
    <t>M-10-01 : SERVICIOS PROFESIONALES - INSTALACIONES - SANITARIOS EXTERIORES</t>
  </si>
  <si>
    <t>M-10-02 : SUBCONTRATOS - INSTALACIONES - SANITARIOS EXTERIORES</t>
  </si>
  <si>
    <t>N-01-01 : MATERIALES, HERR Y EQ - CIMENTACION - CTO RESIDUO PELIGROSOS</t>
  </si>
  <si>
    <t>N-01-02 : MO - CIMENTACION - CTO RESIDUO PELIGROSOS</t>
  </si>
  <si>
    <t>N-01-03 : SUBCONTRATOS - CIMENTACION - CTO RESIDUO PELIGROSOS</t>
  </si>
  <si>
    <t>N-02-01 : MATERIALES, HERR Y EQ - PISOS - CTO RESIDUO PELIGROSOS</t>
  </si>
  <si>
    <t>N-02-02 : MO - PISOS - CTO RESIDUO PELIGROSOS</t>
  </si>
  <si>
    <t>N-02-03 : SERVICIOS PROFESIONALES - PISOS - CTO RESIDUO PELIGROSOS</t>
  </si>
  <si>
    <t>N-03-01 : MATERIALES, HERR Y EQ - ALBAÑILERIAS - CTO RESIDUO PELIGROSOS</t>
  </si>
  <si>
    <t>N-03-02 : MO - ALBAÑILERIAS - CTO RESIDUO PELIGROSOS</t>
  </si>
  <si>
    <t>N-03-03 : SUBCONTRATOS - ALBAÑILERIAS - CTO RESIDUO PELIGROSOS</t>
  </si>
  <si>
    <t>N-04-01 : SERVICIOS PROFESIONALES - ACABADOS - CTO RESIDUO PELIGROSOS</t>
  </si>
  <si>
    <t>N-04-02 : SUBCONTRATOS - ACABADOS - CTO RESIDUO PELIGROSOS</t>
  </si>
  <si>
    <t>N-05-01 : SUBCONTRATOS - EM - CTO RESIDUO PELIGROSOS</t>
  </si>
  <si>
    <t>N-06-01 : SUBCONTRATOS - CUBIERTAS - CTO RESIDUO PELIGROSOS</t>
  </si>
  <si>
    <t>N-07-01 : SUBCONTRATOS - LAMINA FACHADA - CTO RESIDUO PELIGROSOS</t>
  </si>
  <si>
    <t>N-08-01 : SERVICIOS PROFESIONALES - INSTALACIONES - CTO RESIDUO PELIGROSOS</t>
  </si>
  <si>
    <t>N-08-02 : SUBCONTRATOS - INSTALACIONES - CTO RESIDUO PELIGROSOS</t>
  </si>
  <si>
    <t>O-01-01 : MATERIALES, HERR Y EQ - CIMENTACION  - CTO DE BOMBAS</t>
  </si>
  <si>
    <t>O-01-02 : MO - CIMENTACION  - CTO DE BOMBAS</t>
  </si>
  <si>
    <t>O-01-03 : SUBCONTRATOS - CIMENTACION  - CTO DE BOMBAS</t>
  </si>
  <si>
    <t>O-02-01 : MATERIALES, HERR Y EQ - PISOS - CTO DE BOMBAS</t>
  </si>
  <si>
    <t>O-02-02 : MO - PISOS - CTO DE BOMBAS</t>
  </si>
  <si>
    <t>O-02-03 : SERVICIOS PROFESIONALES - PISOS - CTO DE BOMBAS</t>
  </si>
  <si>
    <t>O-03-01 : MATERIALES, HERR Y EQ - ALBAÑILERIAS - CTO DE BOMBAS</t>
  </si>
  <si>
    <t>O-03-02 : MO - ALBAÑILERIAS - CTO DE BOMBAS</t>
  </si>
  <si>
    <t>O-03-03 : SUBCONTRATOS - ALBAÑILERIAS - CTO DE BOMBAS</t>
  </si>
  <si>
    <t>O-04-01 : SERVICIOS PROFESIONALES - ACABADOS - CTO DE BOMBAS</t>
  </si>
  <si>
    <t>O-05-01 : SUBCONTRATOS - EM - CTO DE BOMBAS</t>
  </si>
  <si>
    <t>O-06-01 : SUBCONTRATOS - CUBIERTAS - CTO DE BOMBAS</t>
  </si>
  <si>
    <t>O-07-01 : SUBCONTRATOS - LAMINA FACHADA - CTO DE BOMBAS</t>
  </si>
  <si>
    <t>O-08-01 : SERVICIOS PROFESIONALES - INSTALACIONES - CTO DE BOMBAS</t>
  </si>
  <si>
    <t>O-08-02 : SUBCONTRATOS - INSTALACIONES - CTO DE BOMBAS</t>
  </si>
  <si>
    <t>P-01-01 : MATERIALES, HERR Y EQ - CIMENTACION - SUBESTACION RECEPTORA</t>
  </si>
  <si>
    <t>P-01-02 : MO - CIMENTACION - SUBESTACION RECEPTORA</t>
  </si>
  <si>
    <t>P-01-03 : SUBCONTRATOS - CIMENTACION - SUBESTACION RECEPTORA</t>
  </si>
  <si>
    <t>P-02-01 : MATERIALES, HERR Y EQ - PISOS - SUBESTACION RECEPTORA</t>
  </si>
  <si>
    <t>P-02-02 : MO - PISOS - SUBESTACION RECEPTORA</t>
  </si>
  <si>
    <t>P-02-03 : SERVICIOS PROFESIONALES - PISOS - SUBESTACION RECEPTORA</t>
  </si>
  <si>
    <t>P-03-01 : MATERIALES, HERR Y EQ - ALBAÑILERIAS - SUBESTACION RECEPTORA</t>
  </si>
  <si>
    <t>P-03-02 : MO - ALBAÑILERIAS - SUBESTACION RECEPTORA</t>
  </si>
  <si>
    <t>P-03-03 : SERVICIOS PROFESIONALES - ALBAÑILERIAS - SUBESTACION RECEPTORA</t>
  </si>
  <si>
    <t>P-03-04 : SUBCONTRATOS - ALBAÑILERIAS - SUBESTACION RECEPTORA</t>
  </si>
  <si>
    <t>P-04-01 : SERVICIOS PROFESIONALES - ACABADOS - SUBESTACION RECEPTORA</t>
  </si>
  <si>
    <t>P-04-02 : SUBCONTRATOS - ACABADOS - SUBESTACION RECEPTORA</t>
  </si>
  <si>
    <t>P-05-01 : SUBCONTRATOS - ESTRUCTURA METALICA - SUBESTACION RECEPTORA</t>
  </si>
  <si>
    <t>P-06-01 : SUBCONTRATOS - CUBIERTAS - SUBESTACION RECEPTORA</t>
  </si>
  <si>
    <t>P-07-01 : SUBCONTRATOS - LAMINA FACHADA - SUBESTACION RECEPTORA</t>
  </si>
  <si>
    <t>P-08-01 : SERVICIOS PROFESIONALES - INSTALACIONES - SUBESTACION RECEPTORA</t>
  </si>
  <si>
    <t>P-08-02 : SUBCONTRATOS - INSTALACIONES - SUBESTACION RECEPTORA</t>
  </si>
  <si>
    <t>Q-01-01 : MATERIALES, HERR Y EQ - CIMENTACION - SUBESTACION SECUNDARIA</t>
  </si>
  <si>
    <t>Q-01-02 : MO - CIMENTACION - SUBESTACION SECUNDARIA</t>
  </si>
  <si>
    <t>Q-01-03 : SUBCONTRATOS - CIMENTACION - SUBESTACION SECUNDARIA</t>
  </si>
  <si>
    <t>Q-02-01 : MATERIALES, HERR Y EQ - PISOS - SUBESTACION SECUNDARIA</t>
  </si>
  <si>
    <t>Q-02-02 : MO - PISOS - SUBESTACION SECUNDARIA</t>
  </si>
  <si>
    <t>Q-02-03 : SERVICIOS PROFESIONALES - PISOS - SUBESTACION SECUNDARIA</t>
  </si>
  <si>
    <t>Q-03-01 : MATERIALES, HERR Y EQ - ALBAÑILERIAS - SUBESTACION SECUNDARIA</t>
  </si>
  <si>
    <t>Q-03-02 : MO - ALBAÑILERIAS - SUBESTACION SECUNDARIA</t>
  </si>
  <si>
    <t>Q-03-03 : SERVICIOS PROFESIONALES - ALBAÑILERIAS - SUBESTACION SECUNDARIA</t>
  </si>
  <si>
    <t>Q-03-04 : SUBCONTRATOS - ALBAÑILERIAS - SUBESTACION SECUNDARIA</t>
  </si>
  <si>
    <t>Q-04-01 : SERVICIOS PROFESIONALES - ACABADOS - SUBESTACION SECUNDARIA</t>
  </si>
  <si>
    <t>Q-04-02 : SUBCONTRATOS - ACABADOS - SUBESTACION SECUNDARIA</t>
  </si>
  <si>
    <t>Q-05-01 : SUBCONTRATOS - ESTRUCTURA METALICA - SUBESTACION SECUNDARIA</t>
  </si>
  <si>
    <t>Q-06-01 : SUBCONTRATOS - CUBIERTAS - SUBESTACION SECUNDARIA</t>
  </si>
  <si>
    <t>Q-07-01 : SUBCONTRATOS - LAMINA FACHADA - SUBESTACION SECUNDARIA</t>
  </si>
  <si>
    <t>Q-08-01 : MATERIALES, HERR Y EQ - INSTALACIONES - SUBESTACION SECUNDARIA</t>
  </si>
  <si>
    <t>Q-08-02 : MO - INSTALACIONES - SUBESTACION SECUNDARIA</t>
  </si>
  <si>
    <t>Q-08-03 : SERVICIOS PROFESIONALES - INSTALACIONES - SUBESTACION SECUNDARIA</t>
  </si>
  <si>
    <t>Q-08-04 : SUBCONTRATOS - INSTALACIONES - SUBESTACION SECUNDARIA</t>
  </si>
  <si>
    <t>R-01-01 : MATERIALES, HERR Y EQ - CIMENTACION - TALLER BODEGAS</t>
  </si>
  <si>
    <t>R-01-02 : MO - CIMENTACION - TALLER BODEGAS</t>
  </si>
  <si>
    <t>R-01-03 : SUBCONTRATOS - CIMENTACION - TALLER BODEGAS</t>
  </si>
  <si>
    <t>R-02-01 : MATERIALES, HERR Y EQ - ALBAÑILERIAS - TALLER BODEGAS</t>
  </si>
  <si>
    <t>R-02-02 : MO - ALBAÑILERIAS - TALLER BODEGAS</t>
  </si>
  <si>
    <t>R-02-03 : SUBCONTRATOS - ALBAÑILERIAS - TALLER BODEGAS</t>
  </si>
  <si>
    <t>R-03-01 : SUBCONTRATOS - ESTRUCTURA METALICA - TALLER BODEGAS</t>
  </si>
  <si>
    <t>R-04-01 : SUBCONTRATOS - CUBIERTAS - TALLER BODEGAS</t>
  </si>
  <si>
    <t>R-05-01 : SUBCONTRATOS - INSTALACIONES - TALLER BODEGAS</t>
  </si>
  <si>
    <t>S-01-01 : MATERIALES, HERR Y EQ - CIMENTACION - CTO LAGUNA</t>
  </si>
  <si>
    <t>S-01-02 : MO - CIMENTACION - CTO LAGUNA</t>
  </si>
  <si>
    <t>S-01-03 : SUBCONTRATOS - CIMENTACION - CTO LAGUNA</t>
  </si>
  <si>
    <t>S-02-01 : MATERIALES, HERR Y EQ - PISOS - CTO LAGUNA</t>
  </si>
  <si>
    <t>S-02-02 : MO - PISOS - CTO LAGUNA</t>
  </si>
  <si>
    <t>S-02-03 : SERVICIOS PROFESIONALES - PISOS - CTO LAGUNA</t>
  </si>
  <si>
    <t>S-03-01 : MATERIALES, HERR Y EQ - ALBAÑILERIAS - CTO LAGUNA</t>
  </si>
  <si>
    <t>S-03-02 : MO - ALBAÑILERIAS - CTO LAGUNA</t>
  </si>
  <si>
    <t>S-03-03 : SUBCONTRATOS - ALBAÑILERIAS - CTO LAGUNA</t>
  </si>
  <si>
    <t>S-04-01 : SERVICIOS PROFESIONALES - ACABADOS - CTO LAGUNA</t>
  </si>
  <si>
    <t>S-04-02 : SUBCONTRATOS -ACABADOS - CTO LAGUNA</t>
  </si>
  <si>
    <t>S-05-01 : SUBCONTRATOS - ESTRUCTURA METALICA - CTO LAGUNA</t>
  </si>
  <si>
    <t>S-06-01 : SUBCONTRATOS - CUBIERTAS - CTO LAGUNA</t>
  </si>
  <si>
    <t>S-07-01 : SUBCONTRATOS - INSTALACIONES - CTO LAGUNA</t>
  </si>
  <si>
    <t>T-01-01 : MATERIALES, HERR Y EQ - CIMENTACION - CTO BOMBAS PCI</t>
  </si>
  <si>
    <t>T-01-02 : MO - CIMENTACION - CTO BOMBAS PCI</t>
  </si>
  <si>
    <t>T-01-03 : SUBCONTRATOS - CIMENTACION - CTO BOMBAS PCI</t>
  </si>
  <si>
    <t>T-02-01 : MATERIALES, HERR Y EQ - PISOS - CTO BOMBAS PCI</t>
  </si>
  <si>
    <t>T-02-02 : MO - PISOS - CTO BOMBAS PCI</t>
  </si>
  <si>
    <t>T-02-03 : SERVICIOS PROFESIONALES - PISOS - CTO BOMBAS PCI</t>
  </si>
  <si>
    <t>T-03-01 : MATERIALES, HERR Y EQ - ALBAÑILERIAS - CTO BOMBAS PCI</t>
  </si>
  <si>
    <t>T-03-02 : MO - ALBAÑILERIAS - CTO BOMBAS PCI</t>
  </si>
  <si>
    <t>T-03-03 : SUBCONTRATOS - ALBAÑILERIAS - CTO BOMBAS PCI</t>
  </si>
  <si>
    <t>T-04-01 : SERVICIOS PROFESIONALES - ACABADOS - CTO BOMBAS PCI</t>
  </si>
  <si>
    <t>T-04-02 : SUBCONTRATOS - ACABADOS - CTO BOMBAS PCI</t>
  </si>
  <si>
    <t>T-05-01 : SUBCONTRATOS - ESTRUCTURA METALICA - CTO BOMBAS PCI</t>
  </si>
  <si>
    <t>T-06-01 : SUBCONTRATOS - CUBIERTAS- CTO BOMBAS PCI</t>
  </si>
  <si>
    <t>T-07-01 : SUBCONTRATOS - LAMINA FACHADA - CTO BOMBAS PCI</t>
  </si>
  <si>
    <t>T-08-01 : SUBCONTRATOS - INSTALACIONES - CTO BOMBAS PCI</t>
  </si>
  <si>
    <t>U-01-01 : MATERIALES, HERR Y EQ - CIMENTACION - ESTACION CARBURACION</t>
  </si>
  <si>
    <t>U-01-02 : MO - CIMENTACION - ESTACION CARBURACION</t>
  </si>
  <si>
    <t>U-01-03 : SUBCONTRATOS - CIMENTACION - ESTACION CARBURACION</t>
  </si>
  <si>
    <t>U-02-01 : MATERIALES, HERR Y EQ - PISOS - ESTACION CARBURACION</t>
  </si>
  <si>
    <t>U-02-02 : MO - PISOS - ESTACION CARBURACION</t>
  </si>
  <si>
    <t>U-02-03 : SERVICISO PROFESIONALES - PISOS - ESTACION CARBURACION</t>
  </si>
  <si>
    <t>U-03-01 : SERVICISO PROFESIONALES - ACABADOS - ESTACION CARBURACION</t>
  </si>
  <si>
    <t>U-04-01 : SUBCONTRATOS - ALBAÑILERIAS - ESTACION CARBURACION</t>
  </si>
  <si>
    <t>U-05-01 : SUBCONTRATOS - ESTRUCTURA METALICA - ESTACION CARBURACION</t>
  </si>
  <si>
    <t>U-06-01 : SUBCONTRATOS - CUBIERTAS - ESTACION CARBURACION</t>
  </si>
  <si>
    <t>U-07-01 : SUBCONTRATOS - INSTALACIONES - ESTACION CARBURACION</t>
  </si>
  <si>
    <t>Y-01-01 : SUBCONTRATOS - TERRACERIAS - ACCESO ETAPA 02</t>
  </si>
  <si>
    <t>Z-01-01 : MATERIALES, HERR Y EQ - ALBAÑILERIAS - ACCESO ETAPA 03</t>
  </si>
  <si>
    <t>Z-01-20 : MO - ALBAÑILERIAS - ACCESO ETAPA 03</t>
  </si>
  <si>
    <t>Descripción</t>
  </si>
  <si>
    <t>Descripción larga</t>
  </si>
  <si>
    <t>NIVEL</t>
  </si>
  <si>
    <t>CLAVE</t>
  </si>
  <si>
    <t>1</t>
  </si>
  <si>
    <t>ACCESO A CENTRO - ETAPA 04</t>
  </si>
  <si>
    <t>1-01</t>
  </si>
  <si>
    <t>101</t>
  </si>
  <si>
    <t>SEÑALIZACION - ACCESO ETAPA 04</t>
  </si>
  <si>
    <t>1-01-01</t>
  </si>
  <si>
    <t>1011</t>
  </si>
  <si>
    <t>MATERIALES, HERR Y EQ - SEÑALIZACION - ACCESO ETAPA 04</t>
  </si>
  <si>
    <t>2</t>
  </si>
  <si>
    <t>INDIRECTOS</t>
  </si>
  <si>
    <t>A</t>
  </si>
  <si>
    <t>GENERAL - CENTRO DISTRIBUCION</t>
  </si>
  <si>
    <t>A-01</t>
  </si>
  <si>
    <t>A1</t>
  </si>
  <si>
    <t>PROYECTO EJECUTIVO - GENERAL</t>
  </si>
  <si>
    <t>A-01-01</t>
  </si>
  <si>
    <t>A0101</t>
  </si>
  <si>
    <t>SUBCONTRATOS - PROYECTO EJECUTIVO - GRAL</t>
  </si>
  <si>
    <t>A-02</t>
  </si>
  <si>
    <t>A2</t>
  </si>
  <si>
    <t>DEMOLICIONES - GENERAL</t>
  </si>
  <si>
    <t>A-02-01</t>
  </si>
  <si>
    <t>A0201</t>
  </si>
  <si>
    <t>SUBCONTRATOS - DEMOLICIONES - GRAL</t>
  </si>
  <si>
    <t>A-03</t>
  </si>
  <si>
    <t>A3</t>
  </si>
  <si>
    <t>PRELIMINARES - GENERAL</t>
  </si>
  <si>
    <t>A-03-01</t>
  </si>
  <si>
    <t>A0301</t>
  </si>
  <si>
    <t>MATERIALES, HERR Y EQ - PRELIMINARES - GRAL</t>
  </si>
  <si>
    <t>A-03-02</t>
  </si>
  <si>
    <t>A0302</t>
  </si>
  <si>
    <t>MO - PRELIMINARES - GRAL</t>
  </si>
  <si>
    <t>A-03-03</t>
  </si>
  <si>
    <t>A033</t>
  </si>
  <si>
    <t>SERVICIOS PROFESIONALES - PRELIMINARES - GRAL</t>
  </si>
  <si>
    <t>A-03-04</t>
  </si>
  <si>
    <t>A034</t>
  </si>
  <si>
    <t>SUBCONTRATOS - PRELIMINARES - GRAL</t>
  </si>
  <si>
    <t>A-04</t>
  </si>
  <si>
    <t>A4</t>
  </si>
  <si>
    <t>ESTRUCTURA CONCRETO - GENERAL</t>
  </si>
  <si>
    <t>A-04-01</t>
  </si>
  <si>
    <t>A0401</t>
  </si>
  <si>
    <t>MATERIALES, HERR Y EQ - ESTRUCTURA CONCRETO - GRAL</t>
  </si>
  <si>
    <t>A-04-02</t>
  </si>
  <si>
    <t>A0402</t>
  </si>
  <si>
    <t>MO - ESTRUCTURA CONCRETO - GRAL</t>
  </si>
  <si>
    <t>A-05</t>
  </si>
  <si>
    <t>A5</t>
  </si>
  <si>
    <t>ALBAÑILERIAS - GENERAL</t>
  </si>
  <si>
    <t>A-05-01</t>
  </si>
  <si>
    <t>A0501</t>
  </si>
  <si>
    <t>MATERIALES, HERR Y EQ - ALBAÑILERIAS - GRAL</t>
  </si>
  <si>
    <t>A-05-02</t>
  </si>
  <si>
    <t>A0502</t>
  </si>
  <si>
    <t>MO - ALBAÑILERIAS - GRAL</t>
  </si>
  <si>
    <t>A-05-03</t>
  </si>
  <si>
    <t>A053</t>
  </si>
  <si>
    <t>SERVICIOS PROFESIONALES - ALBAÑILERIAS - GRAL</t>
  </si>
  <si>
    <t>A-05-04</t>
  </si>
  <si>
    <t>A054</t>
  </si>
  <si>
    <t>SUBCONTRATOS - ALBAÑILERIAS - GRAL</t>
  </si>
  <si>
    <t>A-06</t>
  </si>
  <si>
    <t>A10</t>
  </si>
  <si>
    <t>ESTRUCTURA METALICA - GENERAL</t>
  </si>
  <si>
    <t>A-06-01</t>
  </si>
  <si>
    <t>A061</t>
  </si>
  <si>
    <t>SUBCONTRATOS - EM - GRAL</t>
  </si>
  <si>
    <t>A-07</t>
  </si>
  <si>
    <t>A11</t>
  </si>
  <si>
    <t>ALBAÑILERIAS EXTERIOR - GENERAL</t>
  </si>
  <si>
    <t>A-07-01</t>
  </si>
  <si>
    <t>A071</t>
  </si>
  <si>
    <t>MATERIALES, HERR Y EQ - EM - GRAL</t>
  </si>
  <si>
    <t>A-07-02</t>
  </si>
  <si>
    <t>A072</t>
  </si>
  <si>
    <t>MO - EM - GRAL</t>
  </si>
  <si>
    <t>A-07-03</t>
  </si>
  <si>
    <t>A073</t>
  </si>
  <si>
    <t>A-08</t>
  </si>
  <si>
    <t>A6</t>
  </si>
  <si>
    <t>PAVIMENTOS EXTERIORES - GENERAL</t>
  </si>
  <si>
    <t>A-08-01</t>
  </si>
  <si>
    <t>A0601</t>
  </si>
  <si>
    <t>MATERIALES, HERR Y EQ - PAVIMENTOS - GRAL</t>
  </si>
  <si>
    <t>A-08-02</t>
  </si>
  <si>
    <t>A0602</t>
  </si>
  <si>
    <t>MO - PAVIMENTOS - GRAL</t>
  </si>
  <si>
    <t>A-08-03</t>
  </si>
  <si>
    <t>A081</t>
  </si>
  <si>
    <t>SERVICIOS PROFESIONALES - PAVIMENTOS - GRAL</t>
  </si>
  <si>
    <t>A-08-04</t>
  </si>
  <si>
    <t>A082</t>
  </si>
  <si>
    <t>SUBCONTRATOS - PAVIMENTOS - GRAL</t>
  </si>
  <si>
    <t>A-09</t>
  </si>
  <si>
    <t>A7</t>
  </si>
  <si>
    <t>SEÑALIZACION - GENERAL</t>
  </si>
  <si>
    <t>A-09-01</t>
  </si>
  <si>
    <t>A0701</t>
  </si>
  <si>
    <t>MATERIALES, HERR Y EQ - SEÑALIZACION - GRAL</t>
  </si>
  <si>
    <t>A-09-02</t>
  </si>
  <si>
    <t>A0702</t>
  </si>
  <si>
    <t>MO - SEÑALIZACION - GRAL</t>
  </si>
  <si>
    <t>A-09-03</t>
  </si>
  <si>
    <t>A091</t>
  </si>
  <si>
    <t>SUBCONTRATOS - SEÑALIZACION - GRAL</t>
  </si>
  <si>
    <t>A-10</t>
  </si>
  <si>
    <t>A8</t>
  </si>
  <si>
    <t>JARDINERIA - GENERAL</t>
  </si>
  <si>
    <t>A-10-01</t>
  </si>
  <si>
    <t>A0801</t>
  </si>
  <si>
    <t>MATERIALES, HERR Y EQ - JARDINERIA - GRAL</t>
  </si>
  <si>
    <t>A-10-02</t>
  </si>
  <si>
    <t>A0802</t>
  </si>
  <si>
    <t>MO - JARDINERIA - GRAL</t>
  </si>
  <si>
    <t>A-10-03</t>
  </si>
  <si>
    <t>A101</t>
  </si>
  <si>
    <t>SERVICIOS PROFESIONALES - JARDINERIA - GRAL</t>
  </si>
  <si>
    <t>A-11</t>
  </si>
  <si>
    <t>A9</t>
  </si>
  <si>
    <t>INSTALACIONES - GENERAL</t>
  </si>
  <si>
    <t>A-11-01</t>
  </si>
  <si>
    <t>A0901</t>
  </si>
  <si>
    <t>MATERIALES, HERR Y EQ - INSTALACIONES - GRAL</t>
  </si>
  <si>
    <t>A-11-02</t>
  </si>
  <si>
    <t>A0902</t>
  </si>
  <si>
    <t>MO - INSTALACIONES - GRAL</t>
  </si>
  <si>
    <t>A-11-03</t>
  </si>
  <si>
    <t>A111</t>
  </si>
  <si>
    <t>SERVICIOS PROFESIONALES - INSTALACIONES - GRAL</t>
  </si>
  <si>
    <t>A-11-04</t>
  </si>
  <si>
    <t>A112</t>
  </si>
  <si>
    <t>SUBCONTRATOS - INSTALACIONES - GRAL</t>
  </si>
  <si>
    <t>B</t>
  </si>
  <si>
    <t>NAVE PRINCIPAL - CENTRO DISTRIBUCION</t>
  </si>
  <si>
    <t>B-01</t>
  </si>
  <si>
    <t>B1</t>
  </si>
  <si>
    <t>PRELIMINARES - NAVE PRINCIPAL</t>
  </si>
  <si>
    <t>B-01-03</t>
  </si>
  <si>
    <t>B0103</t>
  </si>
  <si>
    <t>B-01-04</t>
  </si>
  <si>
    <t>B014</t>
  </si>
  <si>
    <t>SUBCONTRATOS - PRELIMINARES - NAVE</t>
  </si>
  <si>
    <t>B-02</t>
  </si>
  <si>
    <t>B2</t>
  </si>
  <si>
    <t>CIMENTACION  - NAVE</t>
  </si>
  <si>
    <t>B-02-01</t>
  </si>
  <si>
    <t>B21</t>
  </si>
  <si>
    <t>MATERIALES, HERR Y EQ - CIMENTACION - NAVE</t>
  </si>
  <si>
    <t>B-02-02</t>
  </si>
  <si>
    <t>B22</t>
  </si>
  <si>
    <t>MO - CIMENTACION - NAVE</t>
  </si>
  <si>
    <t>B-02-03</t>
  </si>
  <si>
    <t>B23</t>
  </si>
  <si>
    <t>SUBCONTRATOS - CIMENTACION - NAVE</t>
  </si>
  <si>
    <t>B-03</t>
  </si>
  <si>
    <t>B3</t>
  </si>
  <si>
    <t>ESTRUCTURA DE CONCRETO - NAVE</t>
  </si>
  <si>
    <t>B-03-01</t>
  </si>
  <si>
    <t>B31</t>
  </si>
  <si>
    <t>MATERIALES, HERR Y EQ - ESTRUCTURA DE CONCRETO - NAVE</t>
  </si>
  <si>
    <t>B-03-02</t>
  </si>
  <si>
    <t>B32</t>
  </si>
  <si>
    <t>MO - ESTRUCTURA DE CONCRETO - NAVE</t>
  </si>
  <si>
    <t>B-04</t>
  </si>
  <si>
    <t>B4</t>
  </si>
  <si>
    <t>PISOS - NAVE</t>
  </si>
  <si>
    <t>B-04-01</t>
  </si>
  <si>
    <t>B41</t>
  </si>
  <si>
    <t>MATERIALES, HERR Y EQ - PISOS - NAVE</t>
  </si>
  <si>
    <t>B-04-02</t>
  </si>
  <si>
    <t>B42</t>
  </si>
  <si>
    <t>MO- PISOS - NAVE</t>
  </si>
  <si>
    <t>B-04-03</t>
  </si>
  <si>
    <t>B43</t>
  </si>
  <si>
    <t>SERVICIOS PROFESIONALES- PISOS - NAVE</t>
  </si>
  <si>
    <t>B-05</t>
  </si>
  <si>
    <t>B5</t>
  </si>
  <si>
    <t>ALBAÑILERIAS - NAVE</t>
  </si>
  <si>
    <t>B-05-01</t>
  </si>
  <si>
    <t>B51</t>
  </si>
  <si>
    <t>MATERIALES, HERR Y EQ - ALBAÑILERIAS - NAVE</t>
  </si>
  <si>
    <t>B-05-02</t>
  </si>
  <si>
    <t>B52</t>
  </si>
  <si>
    <t>MO - ALBAÑILERIAS - NAVE</t>
  </si>
  <si>
    <t>B-05-03</t>
  </si>
  <si>
    <t>B53</t>
  </si>
  <si>
    <t>SERVICIOS PROFESIONALES - ALBAÑILERIAS - NAVE</t>
  </si>
  <si>
    <t>B-05-04</t>
  </si>
  <si>
    <t>B54</t>
  </si>
  <si>
    <t>SUBCONTRATOS - ALBAÑILERIAS - NAVE</t>
  </si>
  <si>
    <t>B-06</t>
  </si>
  <si>
    <t>B6</t>
  </si>
  <si>
    <t>ACABADOS - NAVE</t>
  </si>
  <si>
    <t>B-06-01</t>
  </si>
  <si>
    <t>B61</t>
  </si>
  <si>
    <t>SERVICIOS PROFESIONALES - ACABADOS - NAVE</t>
  </si>
  <si>
    <t>B-06-02</t>
  </si>
  <si>
    <t>B62</t>
  </si>
  <si>
    <t>SUBCONTRATOS - ACABADOS - NAVE</t>
  </si>
  <si>
    <t>B-07</t>
  </si>
  <si>
    <t>B7</t>
  </si>
  <si>
    <t>ESTRUCTURA METALICA - NAVE</t>
  </si>
  <si>
    <t>B-07-01</t>
  </si>
  <si>
    <t>B71</t>
  </si>
  <si>
    <t>SUBCONTRATOS - EM - NAVE</t>
  </si>
  <si>
    <t>B-08</t>
  </si>
  <si>
    <t>B8</t>
  </si>
  <si>
    <t>TECHUMBRE O CUBIERTA  - NAVE</t>
  </si>
  <si>
    <t>B-08-01</t>
  </si>
  <si>
    <t>B81</t>
  </si>
  <si>
    <t>SERVICIOS PROFESIONALES - CUBIERTA - NAVE</t>
  </si>
  <si>
    <t>B-08-02</t>
  </si>
  <si>
    <t>B82</t>
  </si>
  <si>
    <t>SUBCONTRATOS - CUBIERTA - NAVE</t>
  </si>
  <si>
    <t>B-09</t>
  </si>
  <si>
    <t>B9</t>
  </si>
  <si>
    <t>LAMINA EN FACHADA  - NAVE</t>
  </si>
  <si>
    <t>B-09-01</t>
  </si>
  <si>
    <t>B91</t>
  </si>
  <si>
    <t>SUBCONTRATOS - LAMINA FACHADA - NAVE</t>
  </si>
  <si>
    <t>B-10</t>
  </si>
  <si>
    <t>B10</t>
  </si>
  <si>
    <t>INSTALACIONES  - NAVE</t>
  </si>
  <si>
    <t>B-10-01</t>
  </si>
  <si>
    <t>B101</t>
  </si>
  <si>
    <t>SERVICIOS PROFESIONALES - INSTALACIONES - NAVE</t>
  </si>
  <si>
    <t>B-10-02</t>
  </si>
  <si>
    <t>B102</t>
  </si>
  <si>
    <t>SUBCONTRATOS - INSTALACIONES - NAVE</t>
  </si>
  <si>
    <t>C</t>
  </si>
  <si>
    <t>OFICINAS RECIBO - CENTRO DISTRIBUCION</t>
  </si>
  <si>
    <t>C-01</t>
  </si>
  <si>
    <t>C1</t>
  </si>
  <si>
    <t>CIMENTACION - OFICINAS RECIBO</t>
  </si>
  <si>
    <t>C-01-01</t>
  </si>
  <si>
    <t>C11</t>
  </si>
  <si>
    <t>MATERIALES, HERR Y EQ - CIMENTACION - OFICINAS RECIBO</t>
  </si>
  <si>
    <t>C-01-02</t>
  </si>
  <si>
    <t>C12</t>
  </si>
  <si>
    <t>MO - CIMENTACION - OFICINAS RECIBO</t>
  </si>
  <si>
    <t>C-01-03</t>
  </si>
  <si>
    <t>C13</t>
  </si>
  <si>
    <t>SUBCONTRATOS - CIMENTACION - OFICINAS RECIBO</t>
  </si>
  <si>
    <t>C-02</t>
  </si>
  <si>
    <t>C2</t>
  </si>
  <si>
    <t>ESTRUCTURA DE CONCRETO - OFICINAS RECIBO</t>
  </si>
  <si>
    <t>C-02-01</t>
  </si>
  <si>
    <t>C21</t>
  </si>
  <si>
    <t>MATERIALES, HERR Y EQ - ESTRUCTURA DE CONCRETO - OFICINAS RECIBO</t>
  </si>
  <si>
    <t>C-02-02</t>
  </si>
  <si>
    <t>C22</t>
  </si>
  <si>
    <t>MO - ESTRUCTURA DE CONCRETO - OFICINAS RECIBO</t>
  </si>
  <si>
    <t>C-03</t>
  </si>
  <si>
    <t>C3</t>
  </si>
  <si>
    <t>PISOS - OFICINAS RECIBO</t>
  </si>
  <si>
    <t>C-03-01</t>
  </si>
  <si>
    <t>C31</t>
  </si>
  <si>
    <t>MATERIALES, HERR Y EQ - PISOS - OFICINAS RECIBO</t>
  </si>
  <si>
    <t>C-03-02</t>
  </si>
  <si>
    <t>C32</t>
  </si>
  <si>
    <t>MO - PISOS - OFICINAS RECIBO</t>
  </si>
  <si>
    <t>C-03-03</t>
  </si>
  <si>
    <t>C33</t>
  </si>
  <si>
    <t>SERVICIOS PROFESIONALES - PISOS - OFICINAS RECIBO</t>
  </si>
  <si>
    <t>C-04</t>
  </si>
  <si>
    <t>C4</t>
  </si>
  <si>
    <t>PLAFONES - OFICINAS RECIBO</t>
  </si>
  <si>
    <t>C-04-01</t>
  </si>
  <si>
    <t>C41</t>
  </si>
  <si>
    <t>SUBCONTRATOS - PLAFONES - OFICINAS RECIBO</t>
  </si>
  <si>
    <t>C-05</t>
  </si>
  <si>
    <t>C5</t>
  </si>
  <si>
    <t>ALBAÑILERIAS - OFICINAS RECIBO</t>
  </si>
  <si>
    <t>C-05-01</t>
  </si>
  <si>
    <t>C51</t>
  </si>
  <si>
    <t>MATERIALES, HERR Y EQ - ALBAÑILERIAS - OFICINAS RECIBO</t>
  </si>
  <si>
    <t>C-05-02</t>
  </si>
  <si>
    <t>C52</t>
  </si>
  <si>
    <t>MO - ALBAÑILERIAS - OFICINAS RECIBO</t>
  </si>
  <si>
    <t>C-05-03</t>
  </si>
  <si>
    <t>C53</t>
  </si>
  <si>
    <t>SUBCONTRATOS - ALBAÑILERIAS - OFICINAS RECIBO</t>
  </si>
  <si>
    <t>C-06</t>
  </si>
  <si>
    <t>C6</t>
  </si>
  <si>
    <t>ACABADOS - OFICINAS RECIBO</t>
  </si>
  <si>
    <t>C-06-01</t>
  </si>
  <si>
    <t>C61</t>
  </si>
  <si>
    <t>MATERIALES, HERR Y EQ - ACABADOS - OFICINAS RECIBO</t>
  </si>
  <si>
    <t>C-06-02</t>
  </si>
  <si>
    <t>C62</t>
  </si>
  <si>
    <t>MO - ACABADOS - OFICINAS RECIBO</t>
  </si>
  <si>
    <t>C-06-03</t>
  </si>
  <si>
    <t>C63</t>
  </si>
  <si>
    <t>SERVICIOS PROFESIONALES - ACABADOS - OFICINAS RECIBO</t>
  </si>
  <si>
    <t>C-06-04</t>
  </si>
  <si>
    <t>C64</t>
  </si>
  <si>
    <t>SUBCONTRATOS - ACABADOS - OFICINAS RECIBO</t>
  </si>
  <si>
    <t>C-07</t>
  </si>
  <si>
    <t>C7</t>
  </si>
  <si>
    <t>ESTRUCTURA METALICA - OFICINAS RECIBO</t>
  </si>
  <si>
    <t>C-07-01</t>
  </si>
  <si>
    <t>C71</t>
  </si>
  <si>
    <t>SUBCONTRATOS - EM - OFICINAS RECIBO</t>
  </si>
  <si>
    <t>C-08</t>
  </si>
  <si>
    <t>C8</t>
  </si>
  <si>
    <t>TECHUMBRE O CUBIERTA - OFICINAS RECIBO</t>
  </si>
  <si>
    <t>C-08-01</t>
  </si>
  <si>
    <t>C81</t>
  </si>
  <si>
    <t>SERVICIOS PROFESIONALES - CUBIERTA - OFICINAS RECIBO</t>
  </si>
  <si>
    <t>C-09</t>
  </si>
  <si>
    <t>C9</t>
  </si>
  <si>
    <t>MUEBLES SANITARIOS - OFICINAS RECIBO</t>
  </si>
  <si>
    <t>C-09-01</t>
  </si>
  <si>
    <t>C91</t>
  </si>
  <si>
    <t>SUBCONTRATOS - MUEBLES SANITARIOS - OFICINAS RECIBO</t>
  </si>
  <si>
    <t>C-10</t>
  </si>
  <si>
    <t>C10</t>
  </si>
  <si>
    <t>INSTALACIONES - OFICINAS RECIBO</t>
  </si>
  <si>
    <t>C-10-01</t>
  </si>
  <si>
    <t>C101</t>
  </si>
  <si>
    <t>MATERIALES, HERR Y EQ - INSTALACIONES - OFICINAS RECIBO</t>
  </si>
  <si>
    <t>C-10-02</t>
  </si>
  <si>
    <t>C102</t>
  </si>
  <si>
    <t>MO - INSTALACIONES - OFICINAS RECIBO</t>
  </si>
  <si>
    <t>C-10-03</t>
  </si>
  <si>
    <t>C103</t>
  </si>
  <si>
    <t>SERVICIOS PROFESIONALES - INSTALACIONES - OFICINAS RECIBO</t>
  </si>
  <si>
    <t>C-10-04</t>
  </si>
  <si>
    <t>C104</t>
  </si>
  <si>
    <t>SUBCONTRATOS - INSTALACIONES - OFICINAS RECIBO</t>
  </si>
  <si>
    <t>D</t>
  </si>
  <si>
    <t>OFICINAS PRINCIPALES - CENTRO DISTRIBUCION</t>
  </si>
  <si>
    <t>D-01</t>
  </si>
  <si>
    <t>D1</t>
  </si>
  <si>
    <t>CIMENTACION - OFICINAS PRINCIPALES</t>
  </si>
  <si>
    <t>D-01-01</t>
  </si>
  <si>
    <t>D11</t>
  </si>
  <si>
    <t>MATERIALES, HERR Y EQ - CIMENTACION - OFICINAS PRINCIPALES</t>
  </si>
  <si>
    <t>D-01-02</t>
  </si>
  <si>
    <t>D12</t>
  </si>
  <si>
    <t>MO - CIMENTACION - OFICINAS PRINCIPALES</t>
  </si>
  <si>
    <t>D-01-03</t>
  </si>
  <si>
    <t>D14</t>
  </si>
  <si>
    <t>SUBCONTRATOS - CIMENTACION - OFICINAS PRINCIPALES</t>
  </si>
  <si>
    <t>D-02</t>
  </si>
  <si>
    <t>D2</t>
  </si>
  <si>
    <t>ESTRUCTURA DE CONCRETO - OFICINAS PRINCIPALES</t>
  </si>
  <si>
    <t>D-02-01</t>
  </si>
  <si>
    <t>D21</t>
  </si>
  <si>
    <t>MATERIALES, HERR Y EQ - ESTRUCTURA DE CONCRETO - OFICINAS PRINCIPALES</t>
  </si>
  <si>
    <t>D-02-02</t>
  </si>
  <si>
    <t>D22</t>
  </si>
  <si>
    <t>MO - ESTRUCTURA DE CONCRETO - OFICINAS PRINCIPALES</t>
  </si>
  <si>
    <t>D-02-03</t>
  </si>
  <si>
    <t>D23</t>
  </si>
  <si>
    <t>SERVICIOS PROFESIONALES - ESTRUCTURA DE CONCRETO - OFICINAS PRINCIPALES</t>
  </si>
  <si>
    <t>D-03</t>
  </si>
  <si>
    <t>D3</t>
  </si>
  <si>
    <t>PISOS - OFICINAS PRINCIPALES</t>
  </si>
  <si>
    <t>D-03-01</t>
  </si>
  <si>
    <t>D31</t>
  </si>
  <si>
    <t>MATERIALES, HERR Y EQ - PISOS - OFICINAS PRINCIPALES</t>
  </si>
  <si>
    <t>D-03-02</t>
  </si>
  <si>
    <t>D32</t>
  </si>
  <si>
    <t>MO - PISOS - OFICINAS PRINCIPALES</t>
  </si>
  <si>
    <t>D-03-03</t>
  </si>
  <si>
    <t>D33</t>
  </si>
  <si>
    <t>SERVICIOS PROFESIONALES - PISOS - OFICINAS PRINCIPALES</t>
  </si>
  <si>
    <t>D-04</t>
  </si>
  <si>
    <t>D4</t>
  </si>
  <si>
    <t>PLAFONES - OFICINAS PRINCIPALES</t>
  </si>
  <si>
    <t>D-04-01</t>
  </si>
  <si>
    <t>D41</t>
  </si>
  <si>
    <t>SUBCONTRATOS - PLAFONES - OFICINAS PRINCIPALES</t>
  </si>
  <si>
    <t>D-05</t>
  </si>
  <si>
    <t>D5</t>
  </si>
  <si>
    <t>ALBAÑILERIAS - OFICINAS PRINCIPALES</t>
  </si>
  <si>
    <t>D-05-01</t>
  </si>
  <si>
    <t>D51</t>
  </si>
  <si>
    <t>MATERIALES, HERR Y EQ - ALBAÑILERIAS - OFICINAS PRINCIPALES</t>
  </si>
  <si>
    <t>D-05-02</t>
  </si>
  <si>
    <t>D52</t>
  </si>
  <si>
    <t>MO - ALBAÑILERIAS - OFICINAS PRINCIPALES</t>
  </si>
  <si>
    <t>D-05-03</t>
  </si>
  <si>
    <t>D53</t>
  </si>
  <si>
    <t>SERVICIOS PROFESIONALES - ALBAÑILERIAS - OFICINAS PRINCIPALES</t>
  </si>
  <si>
    <t>D-05-04</t>
  </si>
  <si>
    <t>D54</t>
  </si>
  <si>
    <t>SUBCONTRATOS - ALBAÑILERIAS - OFICINAS PRINCIPALES</t>
  </si>
  <si>
    <t>D-06</t>
  </si>
  <si>
    <t>D6</t>
  </si>
  <si>
    <t>ACABADOS - OFICINAS PRINCIPALES</t>
  </si>
  <si>
    <t>D-06-01</t>
  </si>
  <si>
    <t>D61</t>
  </si>
  <si>
    <t>MATERIALES, HERR Y EQ - ACABADOS - OFICINAS PRINCIPALES</t>
  </si>
  <si>
    <t>D-06-02</t>
  </si>
  <si>
    <t>D62</t>
  </si>
  <si>
    <t>MO - ACABADOS - OFICINAS PRINCIPALES</t>
  </si>
  <si>
    <t>D-06-03</t>
  </si>
  <si>
    <t>D63</t>
  </si>
  <si>
    <t>SERVICIOS PROFESIONALES - ACABADOS - OFICINAS PRINCIPALES</t>
  </si>
  <si>
    <t>D-06-04</t>
  </si>
  <si>
    <t>D64</t>
  </si>
  <si>
    <t>SUBCONTRATOS - ACABADOS - OFICINAS PRINCIPALES</t>
  </si>
  <si>
    <t>D-07</t>
  </si>
  <si>
    <t>D7</t>
  </si>
  <si>
    <t>ESTRUCTURA METALICA - OFICINAS PRINCIPALES</t>
  </si>
  <si>
    <t>D-07-01</t>
  </si>
  <si>
    <t>D71</t>
  </si>
  <si>
    <t>SUBCONTRATOS - ESTRUCTURA METALICA - OFICINAS PRINCIPALES</t>
  </si>
  <si>
    <t>D-08</t>
  </si>
  <si>
    <t>D8</t>
  </si>
  <si>
    <t>TECHUMBRE O CUBIERTA - OFICINAS PRINCIPALES</t>
  </si>
  <si>
    <t>D-08-01</t>
  </si>
  <si>
    <t>D81</t>
  </si>
  <si>
    <t>SERVICIOS PROFESIONALES - CUBIERTA - OFICINAS PRINCIPALES</t>
  </si>
  <si>
    <t>D-08-02</t>
  </si>
  <si>
    <t>D82</t>
  </si>
  <si>
    <t>SUBCONTRATOS - CUBIERTA - OFICINAS PRINCIPALES</t>
  </si>
  <si>
    <t>D-09</t>
  </si>
  <si>
    <t>D9</t>
  </si>
  <si>
    <t>LAMINA EN FACHADA - OFICINAS PRINCIPALES</t>
  </si>
  <si>
    <t>D-09-01</t>
  </si>
  <si>
    <t>D91</t>
  </si>
  <si>
    <t>SUBCONTRATOS - LAMINA FACHADA - OFICINAS PRINCIPALES</t>
  </si>
  <si>
    <t>D-10</t>
  </si>
  <si>
    <t>D10</t>
  </si>
  <si>
    <t>MUEBLES SANITARIOS - OFICINAS PRINCIPALES</t>
  </si>
  <si>
    <t>D-10-01</t>
  </si>
  <si>
    <t>D101</t>
  </si>
  <si>
    <t>SUBCONTRATOS - MUEBLES SANITARIOS - OFICINAS PRINCIPALES</t>
  </si>
  <si>
    <t>D-11</t>
  </si>
  <si>
    <t>INSTALACIONES - OFICINAS PRINCIPALES</t>
  </si>
  <si>
    <t>D-11-01</t>
  </si>
  <si>
    <t>D111</t>
  </si>
  <si>
    <t>SERVICIOS PROFESIONALES - INSTALACIONES - OFICINAS PRINCIPALES</t>
  </si>
  <si>
    <t>D-11-02</t>
  </si>
  <si>
    <t>D112</t>
  </si>
  <si>
    <t>SUBCONTRATOS - INSTALACIONES - OFICINAS PRINCIPALES</t>
  </si>
  <si>
    <t>E</t>
  </si>
  <si>
    <t>TARIMAS - CENTRO DISTRIBUCION</t>
  </si>
  <si>
    <t>E-01</t>
  </si>
  <si>
    <t>E1</t>
  </si>
  <si>
    <t>PRELIMINARES - TARIMAS</t>
  </si>
  <si>
    <t>E-01-01</t>
  </si>
  <si>
    <t>E11</t>
  </si>
  <si>
    <t>SUBCONTRATOS
 - PRELIMINARES - TARIMAS</t>
  </si>
  <si>
    <t>E-02</t>
  </si>
  <si>
    <t>E2</t>
  </si>
  <si>
    <t>CIMENTACION - TARIMAS</t>
  </si>
  <si>
    <t>E-02-01</t>
  </si>
  <si>
    <t>E21</t>
  </si>
  <si>
    <t>MATERIALES, HERR Y EQ - CIMENTACION - TARIMAS</t>
  </si>
  <si>
    <t>E-02-02</t>
  </si>
  <si>
    <t>E22</t>
  </si>
  <si>
    <t>MO - CIMENTACION - TARIMAS</t>
  </si>
  <si>
    <t>E-02-03</t>
  </si>
  <si>
    <t>E23</t>
  </si>
  <si>
    <t>SUBCONTRATOS
 - CIMENTACION - TARIMAS</t>
  </si>
  <si>
    <t>E-03</t>
  </si>
  <si>
    <t>E3</t>
  </si>
  <si>
    <t>ESTRUCTURA DE CONCRETO - TARIMAS</t>
  </si>
  <si>
    <t>E-03-01</t>
  </si>
  <si>
    <t>E31</t>
  </si>
  <si>
    <t>MATERIALES, HERR Y EQ - ESTRUCTURA DE CONCRETO - TARIMAS</t>
  </si>
  <si>
    <t>E-03-02</t>
  </si>
  <si>
    <t>E32</t>
  </si>
  <si>
    <t>MO - ESTRUCTURA DE CONCRETO - TARIMAS</t>
  </si>
  <si>
    <t>E-04</t>
  </si>
  <si>
    <t>E4</t>
  </si>
  <si>
    <t>PISOS - TARIMAS</t>
  </si>
  <si>
    <t>E-04-01</t>
  </si>
  <si>
    <t>E41</t>
  </si>
  <si>
    <t>MATERIALES, HERR Y EQ - PISOS - TARIMAS</t>
  </si>
  <si>
    <t>E-04-02</t>
  </si>
  <si>
    <t>E42</t>
  </si>
  <si>
    <t>MO - PISOS - TARIMAS</t>
  </si>
  <si>
    <t>E-04-03</t>
  </si>
  <si>
    <t>E43</t>
  </si>
  <si>
    <t>SERVICIOS PROFESIONALES - PISOS - TARIMAS</t>
  </si>
  <si>
    <t>E-05</t>
  </si>
  <si>
    <t>E5</t>
  </si>
  <si>
    <t>PLAFONES - TARIMAS</t>
  </si>
  <si>
    <t>E-05-01</t>
  </si>
  <si>
    <t>E51</t>
  </si>
  <si>
    <t>SUBCONTRATOS - PLAFONES - TARIMAS</t>
  </si>
  <si>
    <t>E-06</t>
  </si>
  <si>
    <t>E6</t>
  </si>
  <si>
    <t>ALBAÑILERIAS - TARIMAS</t>
  </si>
  <si>
    <t>E-06-01</t>
  </si>
  <si>
    <t>E61</t>
  </si>
  <si>
    <t>MATERIALES, HERR Y EQ - ALBAÑILERIAS - TARIMAS</t>
  </si>
  <si>
    <t>E-06-02</t>
  </si>
  <si>
    <t>E62</t>
  </si>
  <si>
    <t>MO - ALBAÑILERIAS - TARIMAS</t>
  </si>
  <si>
    <t>E-06-03</t>
  </si>
  <si>
    <t>E63</t>
  </si>
  <si>
    <t>SERVICIOS PROFESIONALES - ALBAÑILERIAS - TARIMAS</t>
  </si>
  <si>
    <t>E-06-04</t>
  </si>
  <si>
    <t>E64</t>
  </si>
  <si>
    <t>SUBCONTRATOS - ALBAÑILERIAS - TARIMAS</t>
  </si>
  <si>
    <t>E-07</t>
  </si>
  <si>
    <t>E7</t>
  </si>
  <si>
    <t>ACABADOS - TARIMAS</t>
  </si>
  <si>
    <t>E-07-01</t>
  </si>
  <si>
    <t>E71</t>
  </si>
  <si>
    <t>MATERIALES, HERR Y EQ - ACABADOS - TARIMAS</t>
  </si>
  <si>
    <t>E-07-02</t>
  </si>
  <si>
    <t>E72</t>
  </si>
  <si>
    <t>MO - ACABADOS - TARIMAS</t>
  </si>
  <si>
    <t>E-07-03</t>
  </si>
  <si>
    <t>E73</t>
  </si>
  <si>
    <t>SERVICIOS PROFESIONALES - ACABADOS - TARIMAS</t>
  </si>
  <si>
    <t>E-07-04</t>
  </si>
  <si>
    <t>E74</t>
  </si>
  <si>
    <t>SUBCONTRATOS - ACABADOS - TARIMAS</t>
  </si>
  <si>
    <t>E-08</t>
  </si>
  <si>
    <t>E8</t>
  </si>
  <si>
    <t>ESTRUCTURA METALICA - TARIMAS</t>
  </si>
  <si>
    <t>E-08-01</t>
  </si>
  <si>
    <t>E81</t>
  </si>
  <si>
    <t>SUBCONTRATOS - ESTRUCTURA METALICA - TARIMAS</t>
  </si>
  <si>
    <t>E-09</t>
  </si>
  <si>
    <t>E9</t>
  </si>
  <si>
    <t>TECHUMBRE O CUBIERTAS - TARIMAS</t>
  </si>
  <si>
    <t>E-09-01</t>
  </si>
  <si>
    <t>E91</t>
  </si>
  <si>
    <t>SUBCONTRATOS - CUBIERTAS - TARIMAS</t>
  </si>
  <si>
    <t>E-10</t>
  </si>
  <si>
    <t>E10</t>
  </si>
  <si>
    <t>LAMINAS EN FACHADAS - TARIMAS</t>
  </si>
  <si>
    <t>E-10-01</t>
  </si>
  <si>
    <t>E101</t>
  </si>
  <si>
    <t>SUBCONTRATOS - LAMINAS FACHADAS - TARIMAS</t>
  </si>
  <si>
    <t>E-11</t>
  </si>
  <si>
    <t>MUEBLES SANITARIOS - TARIMAS</t>
  </si>
  <si>
    <t>E-11-01</t>
  </si>
  <si>
    <t>E111</t>
  </si>
  <si>
    <t>SUBCONTRATOS - MUEBLES SANITARIOS - TARIMAS</t>
  </si>
  <si>
    <t>E-12</t>
  </si>
  <si>
    <t>E12</t>
  </si>
  <si>
    <t>INSTALACIONES - TARIMAS</t>
  </si>
  <si>
    <t>E-12-01</t>
  </si>
  <si>
    <t>E121</t>
  </si>
  <si>
    <t>SERVICIOS PROFESIONALES - INSTALACIONES - TARIMAS</t>
  </si>
  <si>
    <t>E-12-02</t>
  </si>
  <si>
    <t>E122</t>
  </si>
  <si>
    <t>SUBCONTRATOS - INSTALACIONES - TARIMAS</t>
  </si>
  <si>
    <t>F</t>
  </si>
  <si>
    <t>CASETA ACCESO - CENTRO DISTRIBUCION</t>
  </si>
  <si>
    <t>F-01</t>
  </si>
  <si>
    <t>F1</t>
  </si>
  <si>
    <t>CIMENTACION - CASETA ASOCIADOS</t>
  </si>
  <si>
    <t>F-01-01</t>
  </si>
  <si>
    <t>F11</t>
  </si>
  <si>
    <t>MATERIALES, HERR Y EQ - CIMENTACION - CASETA ASOCIADOS</t>
  </si>
  <si>
    <t>F-01-02</t>
  </si>
  <si>
    <t>F12</t>
  </si>
  <si>
    <t>MO - CIMENTACION - CASETA ASOCIADOS</t>
  </si>
  <si>
    <t>F-01-03</t>
  </si>
  <si>
    <t>F13</t>
  </si>
  <si>
    <t>SUBCONTRATOS - CIMENTACION - CASETA ASOCIADOS</t>
  </si>
  <si>
    <t>F-02</t>
  </si>
  <si>
    <t>F2</t>
  </si>
  <si>
    <t>PISOS - CASETA ASOCIADOS</t>
  </si>
  <si>
    <t>F-02-01</t>
  </si>
  <si>
    <t>F21</t>
  </si>
  <si>
    <t>MATERIALES, HERR Y EQ - PISOS - CASETA ASOCIADOS</t>
  </si>
  <si>
    <t>F-02-02</t>
  </si>
  <si>
    <t>F22</t>
  </si>
  <si>
    <t>MO - PISOS - CASETA ASOCIADOS</t>
  </si>
  <si>
    <t>F-02-03</t>
  </si>
  <si>
    <t>F23</t>
  </si>
  <si>
    <t>SERVICIOS PROFESIONALES - PISOS - CASETA ASOCIADOS</t>
  </si>
  <si>
    <t>F-03</t>
  </si>
  <si>
    <t>F3</t>
  </si>
  <si>
    <t>PLAFONES - CASETA ASOCIADOS</t>
  </si>
  <si>
    <t>F-03-01</t>
  </si>
  <si>
    <t>F31</t>
  </si>
  <si>
    <t>SUBCONTRATOS - PISOS - CASETA ASOCIADOS</t>
  </si>
  <si>
    <t>F-04</t>
  </si>
  <si>
    <t>F4</t>
  </si>
  <si>
    <t>ALBAÑILERIAS - CASETA ASOCIADOS</t>
  </si>
  <si>
    <t>F-04-01</t>
  </si>
  <si>
    <t>F41</t>
  </si>
  <si>
    <t>MATERIALES, HERR Y EQ - ALBAÑILERIAS - CASETA ASOCIADOS</t>
  </si>
  <si>
    <t>F-04-02</t>
  </si>
  <si>
    <t>F42</t>
  </si>
  <si>
    <t>MO - ALBAÑILERIAS - CASETA ASOCIADOS</t>
  </si>
  <si>
    <t>F-04-03</t>
  </si>
  <si>
    <t>F43</t>
  </si>
  <si>
    <t>SERVICIOS PROFESIONALES - ALBAÑILERIAS - CASETA ASOCIADOS</t>
  </si>
  <si>
    <t>F-04-04</t>
  </si>
  <si>
    <t>F44</t>
  </si>
  <si>
    <t>SUBCONTRATOS - ALBAÑILERIAS - CASETA ASOCIADOS</t>
  </si>
  <si>
    <t>F-05</t>
  </si>
  <si>
    <t>F5</t>
  </si>
  <si>
    <t>ACABADOS - CASETA ASOCIADOS</t>
  </si>
  <si>
    <t>F-05-01</t>
  </si>
  <si>
    <t>F51</t>
  </si>
  <si>
    <t>MATERIALES, HERR Y EQ - ACABADOS - CASETA ASOCIADOS</t>
  </si>
  <si>
    <t>F-05-02</t>
  </si>
  <si>
    <t>F52</t>
  </si>
  <si>
    <t>MO - ACABADOS - CASETA ASOCIADOS</t>
  </si>
  <si>
    <t>F-05-03</t>
  </si>
  <si>
    <t>F53</t>
  </si>
  <si>
    <t>SERVICIOS PROFESIONALES - ACABADOS - CASETA ASOCIADOS</t>
  </si>
  <si>
    <t>F-05-04</t>
  </si>
  <si>
    <t>F54</t>
  </si>
  <si>
    <t>SUBCONTRATOS - ACABADOS - CASETA ASOCIADOS</t>
  </si>
  <si>
    <t>F-06</t>
  </si>
  <si>
    <t>F6</t>
  </si>
  <si>
    <t>ESTRUCTURA METALICA - CASETA ASOCIADOS</t>
  </si>
  <si>
    <t>F-06-01</t>
  </si>
  <si>
    <t>F61</t>
  </si>
  <si>
    <t>SUBCONTRATOS - ESTRUCTURA METALICA - CASETA ASOCIADOS</t>
  </si>
  <si>
    <t>F-07</t>
  </si>
  <si>
    <t>F7</t>
  </si>
  <si>
    <t>TECHUMBRE O CUBIERTAS - CASETA ASOCIADOS</t>
  </si>
  <si>
    <t>F-07-01</t>
  </si>
  <si>
    <t>F71</t>
  </si>
  <si>
    <t>SUBCONTRATOS - CUBIERTAS - CASETA ASOCIADOS</t>
  </si>
  <si>
    <t>F-08</t>
  </si>
  <si>
    <t>F8</t>
  </si>
  <si>
    <t>LAMINAS EN FACHADAS - CASETA ASOCIADOS</t>
  </si>
  <si>
    <t>F-08-01</t>
  </si>
  <si>
    <t>F81</t>
  </si>
  <si>
    <t>SUBCONTRATOS - LAMINA FACHADAS - CASETA ASOCIADOS</t>
  </si>
  <si>
    <t>F-09</t>
  </si>
  <si>
    <t>F9</t>
  </si>
  <si>
    <t>MUEBLES SANITARIOS - CASETA ASOCIADOS</t>
  </si>
  <si>
    <t>F-09-01</t>
  </si>
  <si>
    <t>F91</t>
  </si>
  <si>
    <t>SUBCONTRATOS - MUEBLES SANITARIOS - CASETA ASOCIADOS</t>
  </si>
  <si>
    <t>F-10</t>
  </si>
  <si>
    <t>F10</t>
  </si>
  <si>
    <t>INSTALACIONES - CASETA ASOCIADOS</t>
  </si>
  <si>
    <t>F-10-01</t>
  </si>
  <si>
    <t>F101</t>
  </si>
  <si>
    <t>SERVICIOS PROFESIONALES - INSTALACIONES - CASETA ASOCIADOS</t>
  </si>
  <si>
    <t>F-10-02</t>
  </si>
  <si>
    <t>F102</t>
  </si>
  <si>
    <t>SUBCONTRATOS - INSTALACIONES - CASETA ASOCIADOS</t>
  </si>
  <si>
    <t>G</t>
  </si>
  <si>
    <t>OFICINAS EMBARQUE - CENTRO DISTRIBUCION</t>
  </si>
  <si>
    <t>G-01</t>
  </si>
  <si>
    <t>G1</t>
  </si>
  <si>
    <t>CIMENTACION - OFICINAS EMBARQUE</t>
  </si>
  <si>
    <t>G-01-01</t>
  </si>
  <si>
    <t>G11</t>
  </si>
  <si>
    <t>MATERIALES, HERR Y EQ - CIMENTACION - OFICINAS EMBARQUE</t>
  </si>
  <si>
    <t>G-01-02</t>
  </si>
  <si>
    <t>G12</t>
  </si>
  <si>
    <t>MO - CIMENTACION - OFICINAS EMBARQUE</t>
  </si>
  <si>
    <t>G-01-03</t>
  </si>
  <si>
    <t>G13</t>
  </si>
  <si>
    <t>SUBCONTRATOS - CIMENTACION - OFICINAS EMBARQUE</t>
  </si>
  <si>
    <t>G-02</t>
  </si>
  <si>
    <t>G2</t>
  </si>
  <si>
    <t>ESTRUCTURA DE CONCRETO - OFICINAS EMBARQUE</t>
  </si>
  <si>
    <t>G-02-01</t>
  </si>
  <si>
    <t>G21</t>
  </si>
  <si>
    <t>MATERIALES, HERR Y EQ - ESTRUCTURA DE CONCRETO - OFICINAS EMBARQUE</t>
  </si>
  <si>
    <t>G-02-02</t>
  </si>
  <si>
    <t>G22</t>
  </si>
  <si>
    <t>MO - ESTRUCTURA DE CONCRETO - OFICINAS EMBARQUE</t>
  </si>
  <si>
    <t>G-03</t>
  </si>
  <si>
    <t>G3</t>
  </si>
  <si>
    <t>PISOS - OFICINAS EMBARQUE</t>
  </si>
  <si>
    <t>G-03-01</t>
  </si>
  <si>
    <t>G31</t>
  </si>
  <si>
    <t>MATERIALES, HERR Y EQ - PISOS - OFICINAS EMBARQUE</t>
  </si>
  <si>
    <t>G-03-02</t>
  </si>
  <si>
    <t>G32</t>
  </si>
  <si>
    <t>MO - PISOS - OFICINAS EMBARQUE</t>
  </si>
  <si>
    <t>G-03-03</t>
  </si>
  <si>
    <t>G33</t>
  </si>
  <si>
    <t>SERVICIOS PROFESIONALES - PISOS - OFICINAS EMBARQUE</t>
  </si>
  <si>
    <t>G-04</t>
  </si>
  <si>
    <t>G4</t>
  </si>
  <si>
    <t>PLAFONES - OFICINAS EMBARQUE</t>
  </si>
  <si>
    <t>G-04-01</t>
  </si>
  <si>
    <t>G41</t>
  </si>
  <si>
    <t>SUBCONTRATOS - PLAFONES - OFICINAS EMBARQUE</t>
  </si>
  <si>
    <t>G-05</t>
  </si>
  <si>
    <t>G5</t>
  </si>
  <si>
    <t>ALBAÑILERIAS - OFICINAS EMBARQUE</t>
  </si>
  <si>
    <t>G-05-01</t>
  </si>
  <si>
    <t>G51</t>
  </si>
  <si>
    <t>MATERIALES, HERR Y EQ - ALBAÑILERIAS - OFICINAS EMBARQUE</t>
  </si>
  <si>
    <t>G-05-02</t>
  </si>
  <si>
    <t>G52</t>
  </si>
  <si>
    <t>MO - ALBAÑILERIAS - OFICINAS EMBARQUE</t>
  </si>
  <si>
    <t>G-05-03</t>
  </si>
  <si>
    <t>G53</t>
  </si>
  <si>
    <t>SERVICIOS PROFESIONALES - ALBAÑILERIAS - OFICINAS EMBARQUE</t>
  </si>
  <si>
    <t>G-05-04</t>
  </si>
  <si>
    <t>G54</t>
  </si>
  <si>
    <t>SUBCONTRATOS - ALBAÑILERIAS - OFICINAS EMBARQUE</t>
  </si>
  <si>
    <t>G-06</t>
  </si>
  <si>
    <t>G6</t>
  </si>
  <si>
    <t>ACABADOS - OFICINAS EMBARQUE</t>
  </si>
  <si>
    <t>G-06-01</t>
  </si>
  <si>
    <t>G61</t>
  </si>
  <si>
    <t>MATERIALES, HERR Y EQ - ACABADOS - OFICINAS EMBARQUE</t>
  </si>
  <si>
    <t>G-06-02</t>
  </si>
  <si>
    <t>G62</t>
  </si>
  <si>
    <t>MO - ACABADOS - OFICINAS EMBARQUE</t>
  </si>
  <si>
    <t>G-06-03</t>
  </si>
  <si>
    <t>G63</t>
  </si>
  <si>
    <t>SERVICIOS PROFESIONALES - ACABADOS - OFICINAS EMBARQUE</t>
  </si>
  <si>
    <t>G-06-04</t>
  </si>
  <si>
    <t>G64</t>
  </si>
  <si>
    <t>SUBCONTRATOS  - ACABADOS - OFICINAS EMBARQUE</t>
  </si>
  <si>
    <t>G-07</t>
  </si>
  <si>
    <t>G7</t>
  </si>
  <si>
    <t>ESTRUCTURA METALICA - OFICINAS EMBARQUE</t>
  </si>
  <si>
    <t>G-07-01</t>
  </si>
  <si>
    <t>G71</t>
  </si>
  <si>
    <t>SUBCONTRATOS - EM - OFICINAS EMBARQUE</t>
  </si>
  <si>
    <t>G-08</t>
  </si>
  <si>
    <t>G8</t>
  </si>
  <si>
    <t>TECHUMBRE O CUBIERTA - OFICINAS EMBARQUE</t>
  </si>
  <si>
    <t>G-08-01</t>
  </si>
  <si>
    <t>G81</t>
  </si>
  <si>
    <t>SERVICIOS PROFESIONALES - CUBIERTA - OFICINAS EMBARQUE</t>
  </si>
  <si>
    <t>G-09</t>
  </si>
  <si>
    <t>G9</t>
  </si>
  <si>
    <t>MUEBLES SANITARIOS - OFICINAS EMBARQUE</t>
  </si>
  <si>
    <t>G-09-01</t>
  </si>
  <si>
    <t>G91</t>
  </si>
  <si>
    <t>SUBCONTRATOS - MUEBLES SANITARIOS - OFICINAS EMBARQUE</t>
  </si>
  <si>
    <t>G-10</t>
  </si>
  <si>
    <t>G10</t>
  </si>
  <si>
    <t>INSTALACIONES - OFICINAS EMBARQUE</t>
  </si>
  <si>
    <t>G-10-01</t>
  </si>
  <si>
    <t>G101</t>
  </si>
  <si>
    <t>MATERIALES, HERR Y EQ - INSTALACIONES - OFICINAS EMBARQUE</t>
  </si>
  <si>
    <t>G-10-02</t>
  </si>
  <si>
    <t>G102</t>
  </si>
  <si>
    <t>MO - INSTALACIONES - OFICINAS EMBARQUE</t>
  </si>
  <si>
    <t>G-10-03</t>
  </si>
  <si>
    <t>G103</t>
  </si>
  <si>
    <t>SERVICIOS PROFESIONALES - INSTALACIONES - OFICINAS EMBARQUE</t>
  </si>
  <si>
    <t>G-10-04</t>
  </si>
  <si>
    <t>G104</t>
  </si>
  <si>
    <t>SUBCONTRATOS - INSTALACIONES - OFICINAS EMBARQUE</t>
  </si>
  <si>
    <t>H</t>
  </si>
  <si>
    <t>TMG - CENTRO DISTRIBUCION</t>
  </si>
  <si>
    <t>H-01</t>
  </si>
  <si>
    <t>H1</t>
  </si>
  <si>
    <t>CIMENTACION - TMG</t>
  </si>
  <si>
    <t>H-01-01</t>
  </si>
  <si>
    <t>H11</t>
  </si>
  <si>
    <t>MATERIALES, HERR Y EQ - CIMENTACION - TMG</t>
  </si>
  <si>
    <t>H-01-02</t>
  </si>
  <si>
    <t>H12</t>
  </si>
  <si>
    <t>MO - CIMENTACION - TMG</t>
  </si>
  <si>
    <t>H-01-03</t>
  </si>
  <si>
    <t>H13</t>
  </si>
  <si>
    <t>SUBCONTRATOS - CIMENTACION - TMG</t>
  </si>
  <si>
    <t>H-02</t>
  </si>
  <si>
    <t>H2</t>
  </si>
  <si>
    <t>PISOS - TMG</t>
  </si>
  <si>
    <t>H-02-01</t>
  </si>
  <si>
    <t>H21</t>
  </si>
  <si>
    <t>MATERIALES, HERR Y EQ - PISOS - TMG</t>
  </si>
  <si>
    <t>H-02-02</t>
  </si>
  <si>
    <t>H22</t>
  </si>
  <si>
    <t>MO - PISOS - TMG</t>
  </si>
  <si>
    <t>H-02-03</t>
  </si>
  <si>
    <t>H23</t>
  </si>
  <si>
    <t>SERVICIOS PROFESIONALES - PISOS - TMG</t>
  </si>
  <si>
    <t>H-02-04</t>
  </si>
  <si>
    <t>H24</t>
  </si>
  <si>
    <t>SUBCONTRATOS - PISOS - TMG</t>
  </si>
  <si>
    <t>H-03</t>
  </si>
  <si>
    <t>H3</t>
  </si>
  <si>
    <t>ALBAÑILERIAS - TMG</t>
  </si>
  <si>
    <t>H-03-01</t>
  </si>
  <si>
    <t>H31</t>
  </si>
  <si>
    <t>MATERIALES, HERR Y EQ - ALBAÑILERIAS - TMG</t>
  </si>
  <si>
    <t>H-03-02</t>
  </si>
  <si>
    <t>H32</t>
  </si>
  <si>
    <t>MO - ALBAÑILERIAS - TMG</t>
  </si>
  <si>
    <t>H-03-03</t>
  </si>
  <si>
    <t>H33</t>
  </si>
  <si>
    <t>SERVICIOS PROFESIONALES - ALBAÑILERIAS - TMG</t>
  </si>
  <si>
    <t>H-03-04</t>
  </si>
  <si>
    <t>H34</t>
  </si>
  <si>
    <t>SUBCONTRATOS - ALBAÑILERIAS - TMG</t>
  </si>
  <si>
    <t>H-04</t>
  </si>
  <si>
    <t>H4</t>
  </si>
  <si>
    <t>ACABADOS - TMG</t>
  </si>
  <si>
    <t>H-04-01</t>
  </si>
  <si>
    <t>H41</t>
  </si>
  <si>
    <t>MATERIALES, HERR Y EQ - ACABADOS - TMG</t>
  </si>
  <si>
    <t>H-04-02</t>
  </si>
  <si>
    <t>H42</t>
  </si>
  <si>
    <t>MO - ACABADOS - TMG</t>
  </si>
  <si>
    <t>H-04-03</t>
  </si>
  <si>
    <t>H43</t>
  </si>
  <si>
    <t>SERVICIOS PROFESIONALES - ACABADOS - TMG</t>
  </si>
  <si>
    <t>H-04-04</t>
  </si>
  <si>
    <t>H44</t>
  </si>
  <si>
    <t>SUBCONTRATOS - ACABADOS - TMG</t>
  </si>
  <si>
    <t>H-05</t>
  </si>
  <si>
    <t>H5</t>
  </si>
  <si>
    <t>ESTRUCTURA METALICA - TMG</t>
  </si>
  <si>
    <t>H-05-01</t>
  </si>
  <si>
    <t>H51</t>
  </si>
  <si>
    <t>SUBCONTRATOS - EM - TMG</t>
  </si>
  <si>
    <t>H-06</t>
  </si>
  <si>
    <t>H6</t>
  </si>
  <si>
    <t>TECHUMBRE O CUBIERTAS - TMG</t>
  </si>
  <si>
    <t>H-06-01</t>
  </si>
  <si>
    <t>H61</t>
  </si>
  <si>
    <t>SUBCONTRATOS - CUBIERTAS - TMG</t>
  </si>
  <si>
    <t>H-07</t>
  </si>
  <si>
    <t>H7</t>
  </si>
  <si>
    <t>LAMINA EN FACHADA - TMG</t>
  </si>
  <si>
    <t>H-07-01</t>
  </si>
  <si>
    <t>H71</t>
  </si>
  <si>
    <t>SUBCONTRATOS - LAMINA FACHADA - TMG</t>
  </si>
  <si>
    <t>H-08</t>
  </si>
  <si>
    <t>H8</t>
  </si>
  <si>
    <t>MUEBLES DE BAÑO - TMG</t>
  </si>
  <si>
    <t>H-08-01</t>
  </si>
  <si>
    <t>H81</t>
  </si>
  <si>
    <t>SUBCONTRATOS - MUEBLES BAÑO - TMG</t>
  </si>
  <si>
    <t>H-09</t>
  </si>
  <si>
    <t>H9</t>
  </si>
  <si>
    <t>INSTALACIONES - TMG</t>
  </si>
  <si>
    <t>H-09-01</t>
  </si>
  <si>
    <t>H91</t>
  </si>
  <si>
    <t>SERVICIOS PROFESIONALES - INSTALACIONES - TMG</t>
  </si>
  <si>
    <t>H-09-02</t>
  </si>
  <si>
    <t>H92</t>
  </si>
  <si>
    <t>SUBCONTRATOS - INSTALACIONES - TMG</t>
  </si>
  <si>
    <t>I</t>
  </si>
  <si>
    <t>I-01</t>
  </si>
  <si>
    <t>I1</t>
  </si>
  <si>
    <t>CIMENTACION - CASETA ACCESO TRAILERS</t>
  </si>
  <si>
    <t>I-01-01</t>
  </si>
  <si>
    <t>I11</t>
  </si>
  <si>
    <t>MATERIALES, HERR Y EQ - CIMENTACION - CASETA ACCESO TRAILERS</t>
  </si>
  <si>
    <t>I-01-02</t>
  </si>
  <si>
    <t>I12</t>
  </si>
  <si>
    <t>MO - CIMENTACION - CASETA ACCESO TRAILERS</t>
  </si>
  <si>
    <t>I-01-03</t>
  </si>
  <si>
    <t>I13</t>
  </si>
  <si>
    <t>SUBCONTRATOS - CIMENTACION - CASETA ACCESO TRAILERS</t>
  </si>
  <si>
    <t>I-02</t>
  </si>
  <si>
    <t>I2</t>
  </si>
  <si>
    <t>PISOS - CASETA ACCESO TRAILERS</t>
  </si>
  <si>
    <t>I-02-01</t>
  </si>
  <si>
    <t>I21</t>
  </si>
  <si>
    <t>MATERIALES, HERR Y EQ - PISOS - CASETA ACCESO TRAILERS</t>
  </si>
  <si>
    <t>I-02-02</t>
  </si>
  <si>
    <t>I22</t>
  </si>
  <si>
    <t>MO - PISOS - CASETA ACCESO TRAILERS</t>
  </si>
  <si>
    <t>I-02-03</t>
  </si>
  <si>
    <t>I23</t>
  </si>
  <si>
    <t>SERVICIOS PROFESIONALES
 - PISOS - CASETA ACCESO TRAILERS</t>
  </si>
  <si>
    <t>I-03</t>
  </si>
  <si>
    <t>I3</t>
  </si>
  <si>
    <t>PLAFONES - CASETA ACCESO TRAILERS</t>
  </si>
  <si>
    <t>I-03-01</t>
  </si>
  <si>
    <t>I31</t>
  </si>
  <si>
    <t>SUBCONTRATOS - PLAFONES - CASETA ACCESO TRAILERS</t>
  </si>
  <si>
    <t>I-04</t>
  </si>
  <si>
    <t>I4</t>
  </si>
  <si>
    <t>ALBAÑILERIAS - CASETA ACCESO TRAILERS</t>
  </si>
  <si>
    <t>I-04-01</t>
  </si>
  <si>
    <t>I41</t>
  </si>
  <si>
    <t>MATERIALES, HERR Y EQ - ALBAÑILERIAS - CASETA ACCESO TRAILERS</t>
  </si>
  <si>
    <t>I-04-02</t>
  </si>
  <si>
    <t>I42</t>
  </si>
  <si>
    <t>MO - ALBAÑILERIAS - CASETA ACCESO TRAILERS</t>
  </si>
  <si>
    <t>I-04-03</t>
  </si>
  <si>
    <t>I43</t>
  </si>
  <si>
    <t>SERVICIOS PROFESIONALES - ALBAÑILERIAS - CASETA ACCESO TRAILERS</t>
  </si>
  <si>
    <t>I-04-04</t>
  </si>
  <si>
    <t>I44</t>
  </si>
  <si>
    <t>SUBCONTRATOS - ALBAÑILERIAS - CASETA ACCESO TRAILERS</t>
  </si>
  <si>
    <t>I-05</t>
  </si>
  <si>
    <t>I5</t>
  </si>
  <si>
    <t>ACABADOS - CASETA ACCESO TRAILERS</t>
  </si>
  <si>
    <t>I-05-01</t>
  </si>
  <si>
    <t>I51</t>
  </si>
  <si>
    <t>MATERIALES, HERR Y EQ - ACABADOS - CASETA ACCESO TRAILERS</t>
  </si>
  <si>
    <t>I-05-02</t>
  </si>
  <si>
    <t>I52</t>
  </si>
  <si>
    <t>MO - ACABADOS - CASETA ACCESO TRAILERS</t>
  </si>
  <si>
    <t>I-05-03</t>
  </si>
  <si>
    <t>I53</t>
  </si>
  <si>
    <t>SERVICIOS PROFESIONALES - ACABADOS - CASETA ACCESO TRAILERS</t>
  </si>
  <si>
    <t>I-05-04</t>
  </si>
  <si>
    <t>I54</t>
  </si>
  <si>
    <t>SUBCONTRATOS - ACABADOS - CASETA ACCESO TRAILERS</t>
  </si>
  <si>
    <t>I-06</t>
  </si>
  <si>
    <t>I6</t>
  </si>
  <si>
    <t>ESTRUCTURA DE MAMPOSTERIA - CASETA ACCESO TRAILERS</t>
  </si>
  <si>
    <t>I-06-01</t>
  </si>
  <si>
    <t>I61</t>
  </si>
  <si>
    <t>MATERIALES, HERR Y EQ - ESTRUCTURA MAMPOSTERIA - CASETA ACCESO TRAILERS</t>
  </si>
  <si>
    <t>I-06-02</t>
  </si>
  <si>
    <t>I62</t>
  </si>
  <si>
    <t>MO - ESTRUCTURA MAMPOSTERIA - CASETA ACCESO TRAILERS</t>
  </si>
  <si>
    <t>I-07</t>
  </si>
  <si>
    <t>I7</t>
  </si>
  <si>
    <t>ESTRUCTURA METALICA - CASETA ACCESO TRAILERS</t>
  </si>
  <si>
    <t>I-07-01</t>
  </si>
  <si>
    <t>I71</t>
  </si>
  <si>
    <t>SUBCONTRATOS - ESTRUCTURA METALICA - CASETA ACCESO TRAILERS</t>
  </si>
  <si>
    <t>I-08</t>
  </si>
  <si>
    <t>I8</t>
  </si>
  <si>
    <t>TECHUMBRE O CUBIERTAS - CASETA ACCESO TRAILERS</t>
  </si>
  <si>
    <t>I-08-01</t>
  </si>
  <si>
    <t>I81</t>
  </si>
  <si>
    <t>SUBCONTRATOS - CUBIERTAS - CASETA ACCESO TRAILERS</t>
  </si>
  <si>
    <t>I-09</t>
  </si>
  <si>
    <t>I9</t>
  </si>
  <si>
    <t>MUEBLES DE BAÑO - CASETA ACCESO TRAILERS</t>
  </si>
  <si>
    <t>I-09-01</t>
  </si>
  <si>
    <t>I91</t>
  </si>
  <si>
    <t>SUBCONTRATOS - MUEBLES DE BAÑO - CASETA ACCESO TRAILERS</t>
  </si>
  <si>
    <t>I-10</t>
  </si>
  <si>
    <t>I10</t>
  </si>
  <si>
    <t>INSTALACIONES - CASETA ACCESO TRAILERS</t>
  </si>
  <si>
    <t>I-10-01</t>
  </si>
  <si>
    <t>I101</t>
  </si>
  <si>
    <t>SERVICIOS PROFESIONALES - INSTALACIONES - CASETA ACCESO TRAILERS</t>
  </si>
  <si>
    <t>I-10-02</t>
  </si>
  <si>
    <t>I102</t>
  </si>
  <si>
    <t>SUBCONTRATOS - INSTALACIONES - CASETA ACCESO TRAILERS</t>
  </si>
  <si>
    <t>J</t>
  </si>
  <si>
    <t>BASCULA - CENTRO DISTRIBUCION</t>
  </si>
  <si>
    <t>J-01</t>
  </si>
  <si>
    <t>J1</t>
  </si>
  <si>
    <t>CIMENTACION - BASCULA</t>
  </si>
  <si>
    <t>J-01-01</t>
  </si>
  <si>
    <t>J11</t>
  </si>
  <si>
    <t>MATERIALES, HERR Y EQ - CIMENTACION - BASCULA</t>
  </si>
  <si>
    <t>J-01-02</t>
  </si>
  <si>
    <t>J12</t>
  </si>
  <si>
    <t>MO - CIMENTACION - BASCULA</t>
  </si>
  <si>
    <t>J-02</t>
  </si>
  <si>
    <t>J2</t>
  </si>
  <si>
    <t>PISOS - BASCULA</t>
  </si>
  <si>
    <t>J-02-01</t>
  </si>
  <si>
    <t>J21</t>
  </si>
  <si>
    <t>MATERIALES, HERR Y EQ - PISOS - BASCULA</t>
  </si>
  <si>
    <t>J-02-02</t>
  </si>
  <si>
    <t>J22</t>
  </si>
  <si>
    <t>MO - PISOS - BASCULA</t>
  </si>
  <si>
    <t>J-02-03</t>
  </si>
  <si>
    <t>J23</t>
  </si>
  <si>
    <t>SERVICIOS PROFESIONALES - PISOS - BASCULA</t>
  </si>
  <si>
    <t>J-03</t>
  </si>
  <si>
    <t>J3</t>
  </si>
  <si>
    <t>ALBAÑILERIAS - BASCULA</t>
  </si>
  <si>
    <t>J-03-01</t>
  </si>
  <si>
    <t>J31</t>
  </si>
  <si>
    <t>MATERIALES, HERR Y EQ - ALBAÑILERIAS - BASCULA</t>
  </si>
  <si>
    <t>J-03-02</t>
  </si>
  <si>
    <t>J32</t>
  </si>
  <si>
    <t>MO - ALBAÑILERIAS - BASCULA</t>
  </si>
  <si>
    <t>J-03-03</t>
  </si>
  <si>
    <t>J33</t>
  </si>
  <si>
    <t>SERVICIOS PROFESIONALES - ALBAÑILERIAS - BASCULA</t>
  </si>
  <si>
    <t>J-03-04</t>
  </si>
  <si>
    <t>J34</t>
  </si>
  <si>
    <t>SUBCONTRATOS - ALBAÑILERIAS - BASCULA</t>
  </si>
  <si>
    <t>J-04</t>
  </si>
  <si>
    <t>J4</t>
  </si>
  <si>
    <t>ACABADOS - BASCULA</t>
  </si>
  <si>
    <t>J-04-01</t>
  </si>
  <si>
    <t>J41</t>
  </si>
  <si>
    <t>SUBCONTRATOS - ACABADOS - BASCULA</t>
  </si>
  <si>
    <t>J-05</t>
  </si>
  <si>
    <t>J5</t>
  </si>
  <si>
    <t>ESTRUCTURA DE MAMPOSTERIA - BASCULA</t>
  </si>
  <si>
    <t>J-05-01</t>
  </si>
  <si>
    <t>J51</t>
  </si>
  <si>
    <t>MATERIALES, HERR Y EQ - ESTRUCTURA MAMPOSTERIA - BASCULA</t>
  </si>
  <si>
    <t>J-05-02</t>
  </si>
  <si>
    <t>J52</t>
  </si>
  <si>
    <t>MO - ESTRUCTURA MAMPOSTERIA - BASCULA</t>
  </si>
  <si>
    <t>J-06</t>
  </si>
  <si>
    <t>J6</t>
  </si>
  <si>
    <t>ESTRUCTURA METALICA - BASCULA</t>
  </si>
  <si>
    <t>J-06-01</t>
  </si>
  <si>
    <t>J61</t>
  </si>
  <si>
    <t>SUBCONTRATOS - EM - BASCULA</t>
  </si>
  <si>
    <t>J-07</t>
  </si>
  <si>
    <t>J7</t>
  </si>
  <si>
    <t>TECHUMBRE O CUBIERTAS - BASCULA</t>
  </si>
  <si>
    <t>J-07-01</t>
  </si>
  <si>
    <t>J71</t>
  </si>
  <si>
    <t>SUBCONTRATOS - CUBIERTAS - BASCULA</t>
  </si>
  <si>
    <t>J-08</t>
  </si>
  <si>
    <t>J8</t>
  </si>
  <si>
    <t>INSTALACIONES - BASCULA</t>
  </si>
  <si>
    <t>J-08-01</t>
  </si>
  <si>
    <t>J81</t>
  </si>
  <si>
    <t>SUBCONTRATOS - INSTALACIONES - BASCULA</t>
  </si>
  <si>
    <t>K</t>
  </si>
  <si>
    <t>AREA DESCANSO - CENTRO DISTRIBUCION</t>
  </si>
  <si>
    <t>K-01</t>
  </si>
  <si>
    <t>K1</t>
  </si>
  <si>
    <t>CIMENTACION - AREA DE DESCANSO</t>
  </si>
  <si>
    <t>K-01-01</t>
  </si>
  <si>
    <t>K11</t>
  </si>
  <si>
    <t>MATERIALES, HERR Y EQ - CIMENTACION - AREA DE DESCANSO</t>
  </si>
  <si>
    <t>K-01-02</t>
  </si>
  <si>
    <t>K12</t>
  </si>
  <si>
    <t>MO - CIMENTACION - AREA DE DESCANSO</t>
  </si>
  <si>
    <t>K-01-03</t>
  </si>
  <si>
    <t>K13</t>
  </si>
  <si>
    <t>SUBCONTRATOS - CIMENTACION - AREA DE DESCANSO</t>
  </si>
  <si>
    <t>K-02</t>
  </si>
  <si>
    <t>K2</t>
  </si>
  <si>
    <t>PISOS - AREA DE DESCANSO</t>
  </si>
  <si>
    <t>K-02-01</t>
  </si>
  <si>
    <t>K21</t>
  </si>
  <si>
    <t>MATERIALES, HERR Y EQ - PISOS - AREA DE DESCANSO</t>
  </si>
  <si>
    <t>K-02-02</t>
  </si>
  <si>
    <t>K22</t>
  </si>
  <si>
    <t>MO - PISOS - AREA DE DESCANSO</t>
  </si>
  <si>
    <t>K-02-03</t>
  </si>
  <si>
    <t>K23</t>
  </si>
  <si>
    <t>SERVICIOS PROFESIONALES - PISOS - AREA DE DESCANSO</t>
  </si>
  <si>
    <t>K-03</t>
  </si>
  <si>
    <t>K3</t>
  </si>
  <si>
    <t>PLAFONES - AREA DE DESCANSO</t>
  </si>
  <si>
    <t>K-03-01</t>
  </si>
  <si>
    <t>K31</t>
  </si>
  <si>
    <t>SUBCONTRATOS - PLAFONES - AREA DE DESCANSO</t>
  </si>
  <si>
    <t>K-04</t>
  </si>
  <si>
    <t>K4</t>
  </si>
  <si>
    <t>ALBAÑILERIAS - AREA DE DESCANSO</t>
  </si>
  <si>
    <t>K-04-01</t>
  </si>
  <si>
    <t>K41</t>
  </si>
  <si>
    <t>MATERIALES, HERR Y EQ - ALBAÑILERIAS - AREA DE DESCANSO</t>
  </si>
  <si>
    <t>K-04-02</t>
  </si>
  <si>
    <t>K42</t>
  </si>
  <si>
    <t>MO - ALBAÑILERIAS - AREA DE DESCANSO</t>
  </si>
  <si>
    <t>K-04-03</t>
  </si>
  <si>
    <t>K43</t>
  </si>
  <si>
    <t>SERVICIOS PROFESIONALES - ALBAÑILERIAS - AREA DE DESCANSO</t>
  </si>
  <si>
    <t>K-04-04</t>
  </si>
  <si>
    <t>K44</t>
  </si>
  <si>
    <t>SUBCONTRATOS - ALBAÑILERIAS - AREA DE DESCANSO</t>
  </si>
  <si>
    <t>K-05</t>
  </si>
  <si>
    <t>K5</t>
  </si>
  <si>
    <t>ACABADOS - AREA DE DESCANSO</t>
  </si>
  <si>
    <t>K-05-01</t>
  </si>
  <si>
    <t>K51</t>
  </si>
  <si>
    <t>MATERIALES, HERR Y EQ - ACABADOS - AREA DE DESCANSO</t>
  </si>
  <si>
    <t>K-05-02</t>
  </si>
  <si>
    <t>K52</t>
  </si>
  <si>
    <t>MO - ACABADOS - AREA DE DESCANSO</t>
  </si>
  <si>
    <t>K-05-03</t>
  </si>
  <si>
    <t>K53</t>
  </si>
  <si>
    <t>SERVICIOS PROFESIONALES - ACABADOS - AREA DE DESCANSO</t>
  </si>
  <si>
    <t>K-05-04</t>
  </si>
  <si>
    <t>K54</t>
  </si>
  <si>
    <t>SUBCONTRATOS - ACABADOS - AREA DE DESCANSO</t>
  </si>
  <si>
    <t>K-06</t>
  </si>
  <si>
    <t>K6</t>
  </si>
  <si>
    <t>ESTRUCTURA METALICA - AREA DE DESCANSO</t>
  </si>
  <si>
    <t>K-06-01</t>
  </si>
  <si>
    <t>K61</t>
  </si>
  <si>
    <t>SUBCONTRATOS - EM - AREA DE DESCANSO</t>
  </si>
  <si>
    <t>K-07</t>
  </si>
  <si>
    <t>K7</t>
  </si>
  <si>
    <t>TECHUMBRE O CUBIERTAS - AREA DE DESCANSO</t>
  </si>
  <si>
    <t>K-07-01</t>
  </si>
  <si>
    <t>K71</t>
  </si>
  <si>
    <t>SUBCONTRATOS - CUBIERTAS - AREA DE DESCANSO</t>
  </si>
  <si>
    <t>K-08</t>
  </si>
  <si>
    <t>K8</t>
  </si>
  <si>
    <t>LAMINA EN FACHADA - AREA DE DESCANSO</t>
  </si>
  <si>
    <t>K-08-01</t>
  </si>
  <si>
    <t>K81</t>
  </si>
  <si>
    <t>SUBCONTRATOS - LAMINA FACHADA - AREA DE DESCANSO</t>
  </si>
  <si>
    <t>K-09</t>
  </si>
  <si>
    <t>K9</t>
  </si>
  <si>
    <t>MUEBLES DE BAÑO - AREA DE DESCANSO</t>
  </si>
  <si>
    <t>K-09-01</t>
  </si>
  <si>
    <t>K91</t>
  </si>
  <si>
    <t>SUBCONTRATOS - MUEBLES BAÑO - AREA DE DESCANSO</t>
  </si>
  <si>
    <t>K-10</t>
  </si>
  <si>
    <t>K10</t>
  </si>
  <si>
    <t>INSTALACIONES - AREA DE DESCANSO</t>
  </si>
  <si>
    <t>K-10-01</t>
  </si>
  <si>
    <t>K101</t>
  </si>
  <si>
    <t>SERVICIOS PROFESIONALES - INSTALACIONES - AREA DE DESCANSO</t>
  </si>
  <si>
    <t>K-10-02</t>
  </si>
  <si>
    <t>K102</t>
  </si>
  <si>
    <t>SUBCONTRATOS - INSTALACIONES - AREA DE DESCANSO</t>
  </si>
  <si>
    <t>L</t>
  </si>
  <si>
    <t>CASETA SALIDA - CENTRO DISTRIBUCION</t>
  </si>
  <si>
    <t>L-01</t>
  </si>
  <si>
    <t>L1</t>
  </si>
  <si>
    <t>CIMENTACION - CASETA SALIDA TRAILERS</t>
  </si>
  <si>
    <t>L-01-01</t>
  </si>
  <si>
    <t>L11</t>
  </si>
  <si>
    <t>MATERIALES, HERR Y EQ - CIMENTACION - CASETA SALIDA TRAILERS</t>
  </si>
  <si>
    <t>L-01-02</t>
  </si>
  <si>
    <t>L12</t>
  </si>
  <si>
    <t>MO - CIMENTACION - CASETA SALIDA TRAILERS</t>
  </si>
  <si>
    <t>L-01-03</t>
  </si>
  <si>
    <t>L13</t>
  </si>
  <si>
    <t>SUBCONTRATOS - CIMENTACION - CASETA SALIDA TRAILERS</t>
  </si>
  <si>
    <t>L-02</t>
  </si>
  <si>
    <t>L2</t>
  </si>
  <si>
    <t>PISOS - CASETA SALIDA TRAILERS</t>
  </si>
  <si>
    <t>L-02-01</t>
  </si>
  <si>
    <t>L21</t>
  </si>
  <si>
    <t>MATERIALES, HERR Y EQ - PISOS - CASETA SALIDA TRAILERS</t>
  </si>
  <si>
    <t>L-02-02</t>
  </si>
  <si>
    <t>L22</t>
  </si>
  <si>
    <t>MO - PISOS - CASETA SALIDA TRAILERS</t>
  </si>
  <si>
    <t>L-02-03</t>
  </si>
  <si>
    <t>L23</t>
  </si>
  <si>
    <t>SERVICIOS PROFESIONALES - PISOS - CASETA SALIDA TRAILERS</t>
  </si>
  <si>
    <t>L-03</t>
  </si>
  <si>
    <t>L3</t>
  </si>
  <si>
    <t>PLAFONES - CASETA SALIDA TRAILERS</t>
  </si>
  <si>
    <t>L-03-01</t>
  </si>
  <si>
    <t>L31</t>
  </si>
  <si>
    <t>SUBCONTRATOS - PLAFONES - CASETA SALIDA TRAILERS</t>
  </si>
  <si>
    <t>L-04</t>
  </si>
  <si>
    <t>L4</t>
  </si>
  <si>
    <t>ALBAÑILERIAS - CASETA SALIDA TRAILERS</t>
  </si>
  <si>
    <t>L-04-01</t>
  </si>
  <si>
    <t>L41</t>
  </si>
  <si>
    <t>MATERIALES, HERR Y EQ - ALBAÑILERIAS - CASETA SALIDA TRAILERS</t>
  </si>
  <si>
    <t>L-04-02</t>
  </si>
  <si>
    <t>L42</t>
  </si>
  <si>
    <t>MO - ALBAÑILERIAS - CASETA SALIDA TRAILERS</t>
  </si>
  <si>
    <t>L-04-03</t>
  </si>
  <si>
    <t>L43</t>
  </si>
  <si>
    <t>SUBCONTRATOS - ALBAÑILERIAS - CASETA SALIDA TRAILERS</t>
  </si>
  <si>
    <t>L-05</t>
  </si>
  <si>
    <t>L5</t>
  </si>
  <si>
    <t>ACABADOS - CASETA SALIDA TRAILERS</t>
  </si>
  <si>
    <t>L-05-01</t>
  </si>
  <si>
    <t>L51</t>
  </si>
  <si>
    <t>MATERIALES, HERR Y EQ - ACABADOS - CASETA SALIDA TRAILERS</t>
  </si>
  <si>
    <t>L-05-02</t>
  </si>
  <si>
    <t>L52</t>
  </si>
  <si>
    <t>MO - ACABADOS - CASETA SALIDA TRAILERS</t>
  </si>
  <si>
    <t>L-05-03</t>
  </si>
  <si>
    <t>L53</t>
  </si>
  <si>
    <t>SERVICIOS PROFESIONALES - ACABADOS - CASETA SALIDA TRAILERS</t>
  </si>
  <si>
    <t>L-05-04</t>
  </si>
  <si>
    <t>L54</t>
  </si>
  <si>
    <t>SUBCONTRATOS - ACABADOS - CASETA SALIDA TRAILERS</t>
  </si>
  <si>
    <t>L-06</t>
  </si>
  <si>
    <t>L6</t>
  </si>
  <si>
    <t>ESTRUCTURA DE MAMPOSTERIA - CASETA SALIDA TRAILERS</t>
  </si>
  <si>
    <t>L-06-01</t>
  </si>
  <si>
    <t>L61</t>
  </si>
  <si>
    <t>MATERIALES, HERR Y EQ - ESTRUCTURA MAMPOSTERIA - CASETA SALIDA TRAILERS</t>
  </si>
  <si>
    <t>L-06-02</t>
  </si>
  <si>
    <t>L62</t>
  </si>
  <si>
    <t>MO - ESTRUCTURA MAMPOSTERIA - CASETA SALIDA TRAILERS</t>
  </si>
  <si>
    <t>L-06-03</t>
  </si>
  <si>
    <t>L63</t>
  </si>
  <si>
    <t>SUBCONTRATOS - ESTRUCTURA MAMPOSTERIA - CASETA SALIDA TRAILERS</t>
  </si>
  <si>
    <t>L-07</t>
  </si>
  <si>
    <t>L7</t>
  </si>
  <si>
    <t>ESTRUCTURA METALICA - CASETA SALIDA TRAILERS</t>
  </si>
  <si>
    <t>L-07-01</t>
  </si>
  <si>
    <t>L71</t>
  </si>
  <si>
    <t>SUBCONTRATOS - EM - CASETA SALIDA TRAILERS</t>
  </si>
  <si>
    <t>L-08</t>
  </si>
  <si>
    <t>L8</t>
  </si>
  <si>
    <t>TECHUMBRE O CUBIERTAS  - CASETA SALIDA TRAILERS</t>
  </si>
  <si>
    <t>L-08-01</t>
  </si>
  <si>
    <t>L81</t>
  </si>
  <si>
    <t>SUBCONTRATOS - CUBIERTAS  - CASETA SALIDA TRAILERS</t>
  </si>
  <si>
    <t>L-09</t>
  </si>
  <si>
    <t>L9</t>
  </si>
  <si>
    <t>LAMINA EN FACHADA  - CASETA SALIDA TRAILERS</t>
  </si>
  <si>
    <t>L-09-01</t>
  </si>
  <si>
    <t>L91</t>
  </si>
  <si>
    <t>SUBCONTRATOS - LAMINA FACHADA  - CASETA SALIDA TRAILERS</t>
  </si>
  <si>
    <t>L-10</t>
  </si>
  <si>
    <t>L10</t>
  </si>
  <si>
    <t>INSTALACIONES  - CASETA SALIDA TRAILERS</t>
  </si>
  <si>
    <t>L-10-01</t>
  </si>
  <si>
    <t>L101</t>
  </si>
  <si>
    <t>SERVICIOS PROFESIONALES - INSTALACIONES  - CASETA SALIDA TRAILERS</t>
  </si>
  <si>
    <t>L-10-02</t>
  </si>
  <si>
    <t>L102</t>
  </si>
  <si>
    <t>SUBCONTRATOS - INSTALACIONES  - CASETA SALIDA TRAILERS</t>
  </si>
  <si>
    <t>M</t>
  </si>
  <si>
    <t>SANITARIOS EXTERIORES - CENTRO DISTRIBUCION</t>
  </si>
  <si>
    <t>M-01</t>
  </si>
  <si>
    <t>M1</t>
  </si>
  <si>
    <t>CIMENTACION - SANITARIOS EXTERIORES</t>
  </si>
  <si>
    <t>M-01-01</t>
  </si>
  <si>
    <t>M11</t>
  </si>
  <si>
    <t>MATERIALES, HERR Y EQ - CIMENTACION - SANITARIOS EXTERIORES</t>
  </si>
  <si>
    <t>M-01-02</t>
  </si>
  <si>
    <t>M12</t>
  </si>
  <si>
    <t>MO - CIMENTACION - SANITARIOS EXTERIORES</t>
  </si>
  <si>
    <t>M-01-03</t>
  </si>
  <si>
    <t>M13</t>
  </si>
  <si>
    <t>SUBCONTRATOS - CIMENTACION - SANITARIOS EXTERIORES</t>
  </si>
  <si>
    <t>M-02</t>
  </si>
  <si>
    <t>M2</t>
  </si>
  <si>
    <t>PISOS - SANITARIOS EXTERIORES</t>
  </si>
  <si>
    <t>M-02-01</t>
  </si>
  <si>
    <t>M21</t>
  </si>
  <si>
    <t>MATERIALES, HERR Y EQ - PISOS - SANITARIOS EXTERIORES</t>
  </si>
  <si>
    <t>M-02-02</t>
  </si>
  <si>
    <t>M22</t>
  </si>
  <si>
    <t>MO - PISOS - SANITARIOS EXTERIORES</t>
  </si>
  <si>
    <t>M-02-03</t>
  </si>
  <si>
    <t>M23</t>
  </si>
  <si>
    <t>SERVICIOS PROFESIONALES - PISOS - SANITARIOS EXTERIORES</t>
  </si>
  <si>
    <t>M-03</t>
  </si>
  <si>
    <t>M3</t>
  </si>
  <si>
    <t>PLAFONES - SANITARIOS EXTERIORES</t>
  </si>
  <si>
    <t>M-03-01</t>
  </si>
  <si>
    <t>M31</t>
  </si>
  <si>
    <t>SUBCONTRATOS - PLAFONES - SANITARIOS EXTERIORES</t>
  </si>
  <si>
    <t>M-04</t>
  </si>
  <si>
    <t>M4</t>
  </si>
  <si>
    <t>ALBAÑILERIAS - SANITARIOS EXTERIORES</t>
  </si>
  <si>
    <t>M-04-01</t>
  </si>
  <si>
    <t>M41</t>
  </si>
  <si>
    <t>MATERIALES, HERR Y EQ - ALBAÑILERIAS - SANITARIOS EXTERIORES</t>
  </si>
  <si>
    <t>M-04-02</t>
  </si>
  <si>
    <t>M42</t>
  </si>
  <si>
    <t>MO - ALBAÑILERIAS - SANITARIOS EXTERIORES</t>
  </si>
  <si>
    <t>M-04-03</t>
  </si>
  <si>
    <t>M43</t>
  </si>
  <si>
    <t>SUBCONTRATOS - ALBAÑILERIAS - SANITARIOS EXTERIORES</t>
  </si>
  <si>
    <t>M-05</t>
  </si>
  <si>
    <t>M5</t>
  </si>
  <si>
    <t>ACABADOS - SANITARIOS EXTERIORES</t>
  </si>
  <si>
    <t>M-05-01</t>
  </si>
  <si>
    <t>M51</t>
  </si>
  <si>
    <t>MATERIALES, HERR Y EQ - ACABADOS - SANITARIOS EXTERIORES</t>
  </si>
  <si>
    <t>M-05-02</t>
  </si>
  <si>
    <t>M52</t>
  </si>
  <si>
    <t>MO - ACABADOS - SANITARIOS EXTERIORES</t>
  </si>
  <si>
    <t>M-05-03</t>
  </si>
  <si>
    <t>M53</t>
  </si>
  <si>
    <t>SERVICIOS PROFESIONALES - ACABADOS - SANITARIOS EXTERIORES</t>
  </si>
  <si>
    <t>M-05-04</t>
  </si>
  <si>
    <t>M54</t>
  </si>
  <si>
    <t>SUBCONTRATOS  - ACABADOS - SANITARIOS EXTERIORES</t>
  </si>
  <si>
    <t>M-06</t>
  </si>
  <si>
    <t>M6</t>
  </si>
  <si>
    <t>ESTRUCTURA METALICA - SANITARIOS EXTERIORES</t>
  </si>
  <si>
    <t>M-06-01</t>
  </si>
  <si>
    <t>M61</t>
  </si>
  <si>
    <t>SUBCONTRATOS - EM - SANITARIOS EXTERIORES</t>
  </si>
  <si>
    <t>M-07</t>
  </si>
  <si>
    <t>M7</t>
  </si>
  <si>
    <t>TECHUMBRE O CUBIERTAS - SANITARIOS EXTERIORES</t>
  </si>
  <si>
    <t>M-07-01</t>
  </si>
  <si>
    <t>M71</t>
  </si>
  <si>
    <t>SUBCONTRATOS - CUBIERTAS - SANITARIOS EXTERIORES</t>
  </si>
  <si>
    <t>M-08</t>
  </si>
  <si>
    <t>M8</t>
  </si>
  <si>
    <t>LAMINA EN FACHADA - SANITARIOS EXTERIORES</t>
  </si>
  <si>
    <t>M-08-01</t>
  </si>
  <si>
    <t>M81</t>
  </si>
  <si>
    <t>SUBCONTRATOS - LAMINA FACHADA - SANITARIOS EXTERIORES</t>
  </si>
  <si>
    <t>M-09</t>
  </si>
  <si>
    <t>M9</t>
  </si>
  <si>
    <t>MUEBLES DE BAÑO - SANITARIOS EXTERIORES</t>
  </si>
  <si>
    <t>M-09-01</t>
  </si>
  <si>
    <t>M91</t>
  </si>
  <si>
    <t>SUBCONTRATOS - MUEBLES DE BAÑO - SANITARIOS EXTERIORES</t>
  </si>
  <si>
    <t>M-10</t>
  </si>
  <si>
    <t>M10</t>
  </si>
  <si>
    <t>INSTALACIONES - SANITARIOS EXTERIORES</t>
  </si>
  <si>
    <t>M-10-01</t>
  </si>
  <si>
    <t>M101</t>
  </si>
  <si>
    <t>SERVICIOS PROFESIONALES - INSTALACIONES - SANITARIOS EXTERIORES</t>
  </si>
  <si>
    <t>M-10-02</t>
  </si>
  <si>
    <t>M102</t>
  </si>
  <si>
    <t>SUBCONTRATOS - INSTALACIONES - SANITARIOS EXTERIORES</t>
  </si>
  <si>
    <t>N</t>
  </si>
  <si>
    <t>CUARTO RESIDUO PELIGROSOS - CENTRO DISTRIBUCION</t>
  </si>
  <si>
    <t>N-01</t>
  </si>
  <si>
    <t>N1</t>
  </si>
  <si>
    <t>CIMENTACION - CTO RESIDUO PELIGROSOS</t>
  </si>
  <si>
    <t>N-01-01</t>
  </si>
  <si>
    <t>N11</t>
  </si>
  <si>
    <t>MATERIALES, HERR Y EQ - CIMENTACION - CTO RESIDUO PELIGROSOS</t>
  </si>
  <si>
    <t>N-01-02</t>
  </si>
  <si>
    <t>N12</t>
  </si>
  <si>
    <t>MO - CIMENTACION - CTO RESIDUO PELIGROSOS</t>
  </si>
  <si>
    <t>N-01-03</t>
  </si>
  <si>
    <t>N13</t>
  </si>
  <si>
    <t>SUBCONTRATOS - CIMENTACION - CTO RESIDUO PELIGROSOS</t>
  </si>
  <si>
    <t>N-02</t>
  </si>
  <si>
    <t>N2</t>
  </si>
  <si>
    <t>PISOS - CTO RESIDUO PELIGROSOS</t>
  </si>
  <si>
    <t>N-02-01</t>
  </si>
  <si>
    <t>N21</t>
  </si>
  <si>
    <t>MATERIALES, HERR Y EQ - PISOS - CTO RESIDUO PELIGROSOS</t>
  </si>
  <si>
    <t>N-02-02</t>
  </si>
  <si>
    <t>N22</t>
  </si>
  <si>
    <t>MO - PISOS - CTO RESIDUO PELIGROSOS</t>
  </si>
  <si>
    <t>N-02-03</t>
  </si>
  <si>
    <t>N23</t>
  </si>
  <si>
    <t>SERVICIOS PROFESIONALES - PISOS - CTO RESIDUO PELIGROSOS</t>
  </si>
  <si>
    <t>N-03</t>
  </si>
  <si>
    <t>N3</t>
  </si>
  <si>
    <t>ALBAÑILERIAS - CTO RESIDUO PELIGROSOS</t>
  </si>
  <si>
    <t>N-03-01</t>
  </si>
  <si>
    <t>N31</t>
  </si>
  <si>
    <t>MATERIALES, HERR Y EQ - ALBAÑILERIAS - CTO RESIDUO PELIGROSOS</t>
  </si>
  <si>
    <t>N-03-02</t>
  </si>
  <si>
    <t>N32</t>
  </si>
  <si>
    <t>MO - ALBAÑILERIAS - CTO RESIDUO PELIGROSOS</t>
  </si>
  <si>
    <t>N-03-03</t>
  </si>
  <si>
    <t>N33</t>
  </si>
  <si>
    <t>SUBCONTRATOS - ALBAÑILERIAS - CTO RESIDUO PELIGROSOS</t>
  </si>
  <si>
    <t>N-04</t>
  </si>
  <si>
    <t>N4</t>
  </si>
  <si>
    <t>ACABADOS - CTO RESIDUO PELIGROSOS</t>
  </si>
  <si>
    <t>N-04-01</t>
  </si>
  <si>
    <t>N41</t>
  </si>
  <si>
    <t>SERVICIOS PROFESIONALES - ACABADOS - CTO RESIDUO PELIGROSOS</t>
  </si>
  <si>
    <t>N-04-02</t>
  </si>
  <si>
    <t>N42</t>
  </si>
  <si>
    <t>SUBCONTRATOS - ACABADOS - CTO RESIDUO PELIGROSOS</t>
  </si>
  <si>
    <t>N-05</t>
  </si>
  <si>
    <t>N5</t>
  </si>
  <si>
    <t>ESTRUCTURA METALICA - CTO RESIDUO PELIGROSOS</t>
  </si>
  <si>
    <t>N-05-01</t>
  </si>
  <si>
    <t>N51</t>
  </si>
  <si>
    <t>SUBCONTRATOS - EM - CTO RESIDUO PELIGROSOS</t>
  </si>
  <si>
    <t>N-06</t>
  </si>
  <si>
    <t>N6</t>
  </si>
  <si>
    <t>TECHUMBRE O CUBIERTAS - CTO RESIDUO PELIGROSOS</t>
  </si>
  <si>
    <t>N-06-01</t>
  </si>
  <si>
    <t>N61</t>
  </si>
  <si>
    <t>SUBCONTRATOS - CUBIERTAS - CTO RESIDUO PELIGROSOS</t>
  </si>
  <si>
    <t>N-07</t>
  </si>
  <si>
    <t>N7</t>
  </si>
  <si>
    <t>LAMINA EN FACHADA - CTO RESIDUO PELIGROSOS</t>
  </si>
  <si>
    <t>N-07-01</t>
  </si>
  <si>
    <t>N71</t>
  </si>
  <si>
    <t>SUBCONTRATOS - LAMINA FACHADA - CTO RESIDUO PELIGROSOS</t>
  </si>
  <si>
    <t>N-08</t>
  </si>
  <si>
    <t>N8</t>
  </si>
  <si>
    <t>INSTALACIONES - CTO RESIDUO PELIGROSOS</t>
  </si>
  <si>
    <t>N-08-01</t>
  </si>
  <si>
    <t>N81</t>
  </si>
  <si>
    <t>SERVICIOS PROFESIONALES - INSTALACIONES - CTO RESIDUO PELIGROSOS</t>
  </si>
  <si>
    <t>N-08-02</t>
  </si>
  <si>
    <t>N82</t>
  </si>
  <si>
    <t>SUBCONTRATOS - INSTALACIONES - CTO RESIDUO PELIGROSOS</t>
  </si>
  <si>
    <t>O</t>
  </si>
  <si>
    <t>CUARTO BOMBAS - CENTRO DISTRIBUCION</t>
  </si>
  <si>
    <t>O-01</t>
  </si>
  <si>
    <t>O1</t>
  </si>
  <si>
    <t>CIMENTACION  - CTO DE BOMBAS</t>
  </si>
  <si>
    <t>O-01-01</t>
  </si>
  <si>
    <t>O11</t>
  </si>
  <si>
    <t>MATERIALES, HERR Y EQ - CIMENTACION  - CTO DE BOMBAS</t>
  </si>
  <si>
    <t>O-01-02</t>
  </si>
  <si>
    <t>O12</t>
  </si>
  <si>
    <t>MO - CIMENTACION  - CTO DE BOMBAS</t>
  </si>
  <si>
    <t>O-01-03</t>
  </si>
  <si>
    <t>O13</t>
  </si>
  <si>
    <t>SUBCONTRATOS - CIMENTACION  - CTO DE BOMBAS</t>
  </si>
  <si>
    <t>O-02</t>
  </si>
  <si>
    <t>O2</t>
  </si>
  <si>
    <t>PISOS - CTO DE BOMBAS</t>
  </si>
  <si>
    <t>O-02-01</t>
  </si>
  <si>
    <t>O21</t>
  </si>
  <si>
    <t>MATERIALES, HERR Y EQ - PISOS - CTO DE BOMBAS</t>
  </si>
  <si>
    <t>O-02-02</t>
  </si>
  <si>
    <t>O22</t>
  </si>
  <si>
    <t>MO - PISOS - CTO DE BOMBAS</t>
  </si>
  <si>
    <t>O-02-03</t>
  </si>
  <si>
    <t>O23</t>
  </si>
  <si>
    <t>SERVICIOS PROFESIONALES - PISOS - CTO DE BOMBAS</t>
  </si>
  <si>
    <t>O-03</t>
  </si>
  <si>
    <t>O3</t>
  </si>
  <si>
    <t>ALBAÑILERIAS - CTO DE BOMBAS</t>
  </si>
  <si>
    <t>O-03-01</t>
  </si>
  <si>
    <t>O31</t>
  </si>
  <si>
    <t>MATERIALES, HERR Y EQ - ALBAÑILERIAS - CTO DE BOMBAS</t>
  </si>
  <si>
    <t>O-03-02</t>
  </si>
  <si>
    <t>O32</t>
  </si>
  <si>
    <t>MO - ALBAÑILERIAS - CTO DE BOMBAS</t>
  </si>
  <si>
    <t>O-03-03</t>
  </si>
  <si>
    <t>O33</t>
  </si>
  <si>
    <t>SUBCONTRATOS - ALBAÑILERIAS - CTO DE BOMBAS</t>
  </si>
  <si>
    <t>O-04</t>
  </si>
  <si>
    <t>O4</t>
  </si>
  <si>
    <t>ACABADOS - CTO DE BOMBAS</t>
  </si>
  <si>
    <t>O-04-01</t>
  </si>
  <si>
    <t>O41</t>
  </si>
  <si>
    <t>SERVICIOS PROFESIONALES - ACABADOS - CTO DE BOMBAS</t>
  </si>
  <si>
    <t>O-05</t>
  </si>
  <si>
    <t>O5</t>
  </si>
  <si>
    <t>ESTRUCTURA METALICA - CTO DE BOMBAS</t>
  </si>
  <si>
    <t>O-05-01</t>
  </si>
  <si>
    <t>O51</t>
  </si>
  <si>
    <t>SUBCONTRATOS - EM - CTO DE BOMBAS</t>
  </si>
  <si>
    <t>O-06</t>
  </si>
  <si>
    <t>O6</t>
  </si>
  <si>
    <t>TECHUMBRE O CUBIERTAS - CTO DE BOMBAS</t>
  </si>
  <si>
    <t>O-06-01</t>
  </si>
  <si>
    <t>O61</t>
  </si>
  <si>
    <t>SUBCONTRATOS - CUBIERTAS - CTO DE BOMBAS</t>
  </si>
  <si>
    <t>O-07</t>
  </si>
  <si>
    <t>O7</t>
  </si>
  <si>
    <t>LAMINA EN FACHADA - CTO DE BOMBAS</t>
  </si>
  <si>
    <t>O-07-01</t>
  </si>
  <si>
    <t>O71</t>
  </si>
  <si>
    <t>SUBCONTRATOS - LAMINA FACHADA - CTO DE BOMBAS</t>
  </si>
  <si>
    <t>O-08</t>
  </si>
  <si>
    <t>O8</t>
  </si>
  <si>
    <t>INSTALACIONES - CTO DE BOMBAS</t>
  </si>
  <si>
    <t>O-08-01</t>
  </si>
  <si>
    <t>O81</t>
  </si>
  <si>
    <t>SERVICIOS PROFESIONALES - INSTALACIONES - CTO DE BOMBAS</t>
  </si>
  <si>
    <t>O-08-02</t>
  </si>
  <si>
    <t>O82</t>
  </si>
  <si>
    <t>SUBCONTRATOS - INSTALACIONES - CTO DE BOMBAS</t>
  </si>
  <si>
    <t>P</t>
  </si>
  <si>
    <t>SUBESTACION RECEPTORA - CENTRO DISTRIBUCION</t>
  </si>
  <si>
    <t>P-01</t>
  </si>
  <si>
    <t>P01</t>
  </si>
  <si>
    <t>CIMENTACION - SUBESTACION RECEPTORA</t>
  </si>
  <si>
    <t>P-01-01</t>
  </si>
  <si>
    <t>P0101</t>
  </si>
  <si>
    <t>MATERIALES, HERR Y EQ - CIMENTACION - SUBESTACION RECEPTORA</t>
  </si>
  <si>
    <t>P-01-02</t>
  </si>
  <si>
    <t>P0102</t>
  </si>
  <si>
    <t>MO - CIMENTACION - SUBESTACION RECEPTORA</t>
  </si>
  <si>
    <t>P-01-03</t>
  </si>
  <si>
    <t>P0103</t>
  </si>
  <si>
    <t>SUBCONTRATOS - CIMENTACION - SUBESTACION RECEPTORA</t>
  </si>
  <si>
    <t>P-02</t>
  </si>
  <si>
    <t>P02</t>
  </si>
  <si>
    <t>PISOS - SUBESTACION RECEPTORA</t>
  </si>
  <si>
    <t>P-02-01</t>
  </si>
  <si>
    <t>P0201</t>
  </si>
  <si>
    <t>MATERIALES, HERR Y EQ - PISOS - SUBESTACION RECEPTORA</t>
  </si>
  <si>
    <t>P-02-02</t>
  </si>
  <si>
    <t>P0202</t>
  </si>
  <si>
    <t>MO - PISOS - SUBESTACION RECEPTORA</t>
  </si>
  <si>
    <t>P-02-03</t>
  </si>
  <si>
    <t>P0203</t>
  </si>
  <si>
    <t>SERVICIOS PROFESIONALES - PISOS - SUBESTACION RECEPTORA</t>
  </si>
  <si>
    <t>P-03</t>
  </si>
  <si>
    <t>P03</t>
  </si>
  <si>
    <t>ALBAÑILERIAS - SUBESTACION RECEPTORA</t>
  </si>
  <si>
    <t>P-03-01</t>
  </si>
  <si>
    <t>P0301</t>
  </si>
  <si>
    <t>MATERIALES, HERR Y EQ - ALBAÑILERIAS - SUBESTACION RECEPTORA</t>
  </si>
  <si>
    <t>P-03-02</t>
  </si>
  <si>
    <t>P0302</t>
  </si>
  <si>
    <t>MO - ALBAÑILERIAS - SUBESTACION RECEPTORA</t>
  </si>
  <si>
    <t>P-03-03</t>
  </si>
  <si>
    <t>P0303</t>
  </si>
  <si>
    <t>SERVICIOS PROFESIONALES - ALBAÑILERIAS - SUBESTACION RECEPTORA</t>
  </si>
  <si>
    <t>P-03-04</t>
  </si>
  <si>
    <t>P0304</t>
  </si>
  <si>
    <t>SUBCONTRATOS - ALBAÑILERIAS - SUBESTACION RECEPTORA</t>
  </si>
  <si>
    <t>P-04</t>
  </si>
  <si>
    <t>P04</t>
  </si>
  <si>
    <t>ACABADOS - SUBESTACION RECEPTORA</t>
  </si>
  <si>
    <t>P-04-01</t>
  </si>
  <si>
    <t>P0401</t>
  </si>
  <si>
    <t>SERVICIOS PROFESIONALES - ACABADOS - SUBESTACION RECEPTORA</t>
  </si>
  <si>
    <t>P-04-02</t>
  </si>
  <si>
    <t>P0402</t>
  </si>
  <si>
    <t>SUBCONTRATOS - ACABADOS - SUBESTACION RECEPTORA</t>
  </si>
  <si>
    <t>P-05</t>
  </si>
  <si>
    <t>P05</t>
  </si>
  <si>
    <t>ESTRUCTURA METALICA - SUBESTACION RECEPTORA</t>
  </si>
  <si>
    <t>P-05-01</t>
  </si>
  <si>
    <t>P0501</t>
  </si>
  <si>
    <t>SUBCONTRATOS - ESTRUCTURA METALICA - SUBESTACION RECEPTORA</t>
  </si>
  <si>
    <t>P-06</t>
  </si>
  <si>
    <t>P06</t>
  </si>
  <si>
    <t>TECHUMBRE O CUBIERTAS - SUBESTACION RECEPTORA</t>
  </si>
  <si>
    <t>P-06-01</t>
  </si>
  <si>
    <t>P0601</t>
  </si>
  <si>
    <t>SUBCONTRATOS - CUBIERTAS - SUBESTACION RECEPTORA</t>
  </si>
  <si>
    <t>P-07</t>
  </si>
  <si>
    <t>P07</t>
  </si>
  <si>
    <t>LAMINA EN FACHADA - SUBESTACION RECEPTORA</t>
  </si>
  <si>
    <t>P-07-01</t>
  </si>
  <si>
    <t>P0701</t>
  </si>
  <si>
    <t>SUBCONTRATOS - LAMINA FACHADA - SUBESTACION RECEPTORA</t>
  </si>
  <si>
    <t>P-08</t>
  </si>
  <si>
    <t>P8</t>
  </si>
  <si>
    <t>INSTALACIONES - SUBESTACION RECEPTORA</t>
  </si>
  <si>
    <t>P-08-01</t>
  </si>
  <si>
    <t>P0801</t>
  </si>
  <si>
    <t>SERVICIOS PROFESIONALES - INSTALACIONES - SUBESTACION RECEPTORA</t>
  </si>
  <si>
    <t>P-08-02</t>
  </si>
  <si>
    <t>P0802</t>
  </si>
  <si>
    <t>SUBCONTRATOS - INSTALACIONES - SUBESTACION RECEPTORA</t>
  </si>
  <si>
    <t>Q</t>
  </si>
  <si>
    <t>SUBESTACION SECUNDARIA - CENTRO DISTRIBUCION</t>
  </si>
  <si>
    <t>Q-01</t>
  </si>
  <si>
    <t>Q01</t>
  </si>
  <si>
    <t>CIMENTACION - SUBESTACION SECUNDARIA</t>
  </si>
  <si>
    <t>Q-01-01</t>
  </si>
  <si>
    <t>Q0101</t>
  </si>
  <si>
    <t>MATERIALES, HERR Y EQ - CIMENTACION - SUBESTACION SECUNDARIA</t>
  </si>
  <si>
    <t>Q-01-02</t>
  </si>
  <si>
    <t>Q0102</t>
  </si>
  <si>
    <t>MO - CIMENTACION - SUBESTACION SECUNDARIA</t>
  </si>
  <si>
    <t>Q-01-03</t>
  </si>
  <si>
    <t>Q0103</t>
  </si>
  <si>
    <t>SUBCONTRATOS - CIMENTACION - SUBESTACION SECUNDARIA</t>
  </si>
  <si>
    <t>Q-02</t>
  </si>
  <si>
    <t>Q02</t>
  </si>
  <si>
    <t>PISOS - SUBESTACION SECUNDARIA</t>
  </si>
  <si>
    <t>Q-02-01</t>
  </si>
  <si>
    <t>Q0201</t>
  </si>
  <si>
    <t>MATERIALES, HERR Y EQ - PISOS - SUBESTACION SECUNDARIA</t>
  </si>
  <si>
    <t>Q-02-02</t>
  </si>
  <si>
    <t>Q0202</t>
  </si>
  <si>
    <t>MO - PISOS - SUBESTACION SECUNDARIA</t>
  </si>
  <si>
    <t>Q-02-03</t>
  </si>
  <si>
    <t>Q0203</t>
  </si>
  <si>
    <t>SERVICIOS PROFESIONALES - PISOS - SUBESTACION SECUNDARIA</t>
  </si>
  <si>
    <t>Q-03</t>
  </si>
  <si>
    <t>Q03</t>
  </si>
  <si>
    <t>ALBAÑILERIAS - SUBESTACION SECUNDARIA</t>
  </si>
  <si>
    <t>Q-03-01</t>
  </si>
  <si>
    <t>Q0301</t>
  </si>
  <si>
    <t>MATERIALES, HERR Y EQ - ALBAÑILERIAS - SUBESTACION SECUNDARIA</t>
  </si>
  <si>
    <t>Q-03-02</t>
  </si>
  <si>
    <t>Q0302</t>
  </si>
  <si>
    <t>MO - ALBAÑILERIAS - SUBESTACION SECUNDARIA</t>
  </si>
  <si>
    <t>Q-03-03</t>
  </si>
  <si>
    <t>Q0303</t>
  </si>
  <si>
    <t>SERVICIOS PROFESIONALES - ALBAÑILERIAS - SUBESTACION SECUNDARIA</t>
  </si>
  <si>
    <t>Q-03-04</t>
  </si>
  <si>
    <t>Q0304</t>
  </si>
  <si>
    <t>SUBCONTRATOS - ALBAÑILERIAS - SUBESTACION SECUNDARIA</t>
  </si>
  <si>
    <t>Q-04</t>
  </si>
  <si>
    <t>Q04</t>
  </si>
  <si>
    <t>ACABADOS - SUBESTACION SECUNDARIA</t>
  </si>
  <si>
    <t>Q-04-01</t>
  </si>
  <si>
    <t>Q0401</t>
  </si>
  <si>
    <t>SERVICIOS PROFESIONALES - ACABADOS - SUBESTACION SECUNDARIA</t>
  </si>
  <si>
    <t>Q-04-02</t>
  </si>
  <si>
    <t>Q0402</t>
  </si>
  <si>
    <t>SUBCONTRATOS - ACABADOS - SUBESTACION SECUNDARIA</t>
  </si>
  <si>
    <t>Q-05</t>
  </si>
  <si>
    <t>Q05</t>
  </si>
  <si>
    <t>ESTRUCTURA METALICA - SUBESTACION SECUNDARIA</t>
  </si>
  <si>
    <t>Q-05-01</t>
  </si>
  <si>
    <t>Q0501</t>
  </si>
  <si>
    <t>SUBCONTRATOS - ESTRUCTURA METALICA - SUBESTACION SECUNDARIA</t>
  </si>
  <si>
    <t>Q-06</t>
  </si>
  <si>
    <t>Q06</t>
  </si>
  <si>
    <t>TECHUMBRE O CUBIERTAS - SUBESTACION SECUNDARIA</t>
  </si>
  <si>
    <t>Q-06-01</t>
  </si>
  <si>
    <t>Q0601</t>
  </si>
  <si>
    <t>SUBCONTRATOS - CUBIERTAS - SUBESTACION SECUNDARIA</t>
  </si>
  <si>
    <t>Q-07</t>
  </si>
  <si>
    <t>Q07</t>
  </si>
  <si>
    <t>LAMINA EN FACHADA - SUBESTACION SECUNDARIA</t>
  </si>
  <si>
    <t>Q-07-01</t>
  </si>
  <si>
    <t>Q0701</t>
  </si>
  <si>
    <t>SUBCONTRATOS - LAMINA FACHADA - SUBESTACION SECUNDARIA</t>
  </si>
  <si>
    <t>Q-08</t>
  </si>
  <si>
    <t>Q08</t>
  </si>
  <si>
    <t>INSTALACIONES - SUBESTACION SECUNDARIA</t>
  </si>
  <si>
    <t>Q-08-01</t>
  </si>
  <si>
    <t>Q0801</t>
  </si>
  <si>
    <t>MATERIALES, HERR Y EQ - INSTALACIONES - SUBESTACION SECUNDARIA</t>
  </si>
  <si>
    <t>Q-08-02</t>
  </si>
  <si>
    <t>Q0802</t>
  </si>
  <si>
    <t>MO - INSTALACIONES - SUBESTACION SECUNDARIA</t>
  </si>
  <si>
    <t>Q-08-03</t>
  </si>
  <si>
    <t>Q0803</t>
  </si>
  <si>
    <t>SERVICIOS PROFESIONALES - INSTALACIONES - SUBESTACION SECUNDARIA</t>
  </si>
  <si>
    <t>Q-08-04</t>
  </si>
  <si>
    <t>Q0804</t>
  </si>
  <si>
    <t>SUBCONTRATOS - INSTALACIONES - SUBESTACION SECUNDARIA</t>
  </si>
  <si>
    <t>R</t>
  </si>
  <si>
    <t>TALLER BODEGAS - CENTRO DISTRIBUCION</t>
  </si>
  <si>
    <t>R-01</t>
  </si>
  <si>
    <t>R01</t>
  </si>
  <si>
    <t>CIMENTACION - TALLER BODEGAS</t>
  </si>
  <si>
    <t>R-01-01</t>
  </si>
  <si>
    <t>R0101</t>
  </si>
  <si>
    <t>MATERIALES, HERR Y EQ - CIMENTACION - TALLER BODEGAS</t>
  </si>
  <si>
    <t>R-01-02</t>
  </si>
  <si>
    <t>R0102</t>
  </si>
  <si>
    <t>MO - CIMENTACION - TALLER BODEGAS</t>
  </si>
  <si>
    <t>R-01-03</t>
  </si>
  <si>
    <t>R0103</t>
  </si>
  <si>
    <t>SUBCONTRATOS - CIMENTACION - TALLER BODEGAS</t>
  </si>
  <si>
    <t>R-02</t>
  </si>
  <si>
    <t>R02</t>
  </si>
  <si>
    <t>ALBAÑILERIAS - TALLER BODEGAS</t>
  </si>
  <si>
    <t>R-02-01</t>
  </si>
  <si>
    <t>R0201</t>
  </si>
  <si>
    <t>MATERIALES, HERR Y EQ - ALBAÑILERIAS - TALLER BODEGAS</t>
  </si>
  <si>
    <t>R-02-02</t>
  </si>
  <si>
    <t>R0202</t>
  </si>
  <si>
    <t>MO - ALBAÑILERIAS - TALLER BODEGAS</t>
  </si>
  <si>
    <t>R-02-03</t>
  </si>
  <si>
    <t>R0203</t>
  </si>
  <si>
    <t>SUBCONTRATOS - ALBAÑILERIAS - TALLER BODEGAS</t>
  </si>
  <si>
    <t>R-03</t>
  </si>
  <si>
    <t>R03</t>
  </si>
  <si>
    <t>ESTRUCTURA METALICA - TALLER BODEGAS</t>
  </si>
  <si>
    <t>R-03-01</t>
  </si>
  <si>
    <t>R0301</t>
  </si>
  <si>
    <t>SUBCONTRATOS - ESTRUCTURA METALICA - TALLER BODEGAS</t>
  </si>
  <si>
    <t>R-04</t>
  </si>
  <si>
    <t>R04</t>
  </si>
  <si>
    <t>TECHUMBRE O CUBIERTAS - TALLER BODEGAS</t>
  </si>
  <si>
    <t>R-04-01</t>
  </si>
  <si>
    <t>R0401</t>
  </si>
  <si>
    <t>SUBCONTRATOS - CUBIERTAS - TALLER BODEGAS</t>
  </si>
  <si>
    <t>R-05</t>
  </si>
  <si>
    <t>R05</t>
  </si>
  <si>
    <t>INSTALACIONES - TALLER BODEGAS</t>
  </si>
  <si>
    <t>R-05-01</t>
  </si>
  <si>
    <t>R0501</t>
  </si>
  <si>
    <t>SUBCONTRATOS - INSTALACIONES - TALLER BODEGAS</t>
  </si>
  <si>
    <t>S</t>
  </si>
  <si>
    <t>CUARTO LAGUNA - CENTRO DISTRIBUCION</t>
  </si>
  <si>
    <t>S-01</t>
  </si>
  <si>
    <t>S01</t>
  </si>
  <si>
    <t>CIMENTACION - CTO LAGUNA</t>
  </si>
  <si>
    <t>S-01-01</t>
  </si>
  <si>
    <t>S0101</t>
  </si>
  <si>
    <t>MATERIALES, HERR Y EQ - CIMENTACION - CTO LAGUNA</t>
  </si>
  <si>
    <t>S-01-02</t>
  </si>
  <si>
    <t>S0102</t>
  </si>
  <si>
    <t>MO - CIMENTACION - CTO LAGUNA</t>
  </si>
  <si>
    <t>S-01-03</t>
  </si>
  <si>
    <t>S0103</t>
  </si>
  <si>
    <t>SUBCONTRATOS - CIMENTACION - CTO LAGUNA</t>
  </si>
  <si>
    <t>S-02</t>
  </si>
  <si>
    <t>S02</t>
  </si>
  <si>
    <t>PISOS - CTO LAGUNA</t>
  </si>
  <si>
    <t>S-02-01</t>
  </si>
  <si>
    <t>S0201</t>
  </si>
  <si>
    <t>MATERIALES, HERR Y EQ - PISOS - CTO LAGUNA</t>
  </si>
  <si>
    <t>S-02-02</t>
  </si>
  <si>
    <t>S0202</t>
  </si>
  <si>
    <t>MO - PISOS - CTO LAGUNA</t>
  </si>
  <si>
    <t>S-02-03</t>
  </si>
  <si>
    <t>S0203</t>
  </si>
  <si>
    <t>SERVICIOS PROFESIONALES - PISOS - CTO LAGUNA</t>
  </si>
  <si>
    <t>S-03</t>
  </si>
  <si>
    <t>S03</t>
  </si>
  <si>
    <t>ALBAÑILERIAS - CTO LAGUNA</t>
  </si>
  <si>
    <t>S-03-01</t>
  </si>
  <si>
    <t>S0301</t>
  </si>
  <si>
    <t>MATERIALES, HERR Y EQ - ALBAÑILERIAS - CTO LAGUNA</t>
  </si>
  <si>
    <t>S-03-02</t>
  </si>
  <si>
    <t>S0302</t>
  </si>
  <si>
    <t>MO - ALBAÑILERIAS - CTO LAGUNA</t>
  </si>
  <si>
    <t>S-03-03</t>
  </si>
  <si>
    <t>S0303</t>
  </si>
  <si>
    <t>SUBCONTRATOS - ALBAÑILERIAS - CTO LAGUNA</t>
  </si>
  <si>
    <t>S-04</t>
  </si>
  <si>
    <t>S04</t>
  </si>
  <si>
    <t>ACABADOS - CTO LAGUNA</t>
  </si>
  <si>
    <t>S-04-01</t>
  </si>
  <si>
    <t>S0401</t>
  </si>
  <si>
    <t>SERVICIOS PROFESIONALES - ACABADOS - CTO LAGUNA</t>
  </si>
  <si>
    <t>S-04-02</t>
  </si>
  <si>
    <t>S0402</t>
  </si>
  <si>
    <t>SUBCONTRATOS -ACABADOS - CTO LAGUNA</t>
  </si>
  <si>
    <t>S-05</t>
  </si>
  <si>
    <t>S05</t>
  </si>
  <si>
    <t>ESTRUCTURA METALICA - CTO LAGUNA</t>
  </si>
  <si>
    <t>S-05-01</t>
  </si>
  <si>
    <t>S0501</t>
  </si>
  <si>
    <t>SUBCONTRATOS - ESTRUCTURA METALICA - CTO LAGUNA</t>
  </si>
  <si>
    <t>S-06</t>
  </si>
  <si>
    <t>S06</t>
  </si>
  <si>
    <t>TECHUMBRE O CUBIERTAS - CTO LAGUNA</t>
  </si>
  <si>
    <t>S-06-01</t>
  </si>
  <si>
    <t>S0601</t>
  </si>
  <si>
    <t>SUBCONTRATOS - CUBIERTAS - CTO LAGUNA</t>
  </si>
  <si>
    <t>S-07</t>
  </si>
  <si>
    <t>S07</t>
  </si>
  <si>
    <t>INSTALACIONES - CTO LAGUNA</t>
  </si>
  <si>
    <t>S-07-01</t>
  </si>
  <si>
    <t>S0701</t>
  </si>
  <si>
    <t>SUBCONTRATOS - INSTALACIONES - CTO LAGUNA</t>
  </si>
  <si>
    <t>T</t>
  </si>
  <si>
    <t>CUARTO BOMBAS PCI - CENTRO DISTRIBUCION</t>
  </si>
  <si>
    <t>T-01</t>
  </si>
  <si>
    <t>T01</t>
  </si>
  <si>
    <t>CIMENTACION - CTO BOMBAS PCI</t>
  </si>
  <si>
    <t>T-01-01</t>
  </si>
  <si>
    <t>T0101</t>
  </si>
  <si>
    <t>MATERIALES, HERR Y EQ - CIMENTACION - CTO BOMBAS PCI</t>
  </si>
  <si>
    <t>T-01-02</t>
  </si>
  <si>
    <t>T0102</t>
  </si>
  <si>
    <t>MO - CIMENTACION - CTO BOMBAS PCI</t>
  </si>
  <si>
    <t>T-01-03</t>
  </si>
  <si>
    <t>T0103</t>
  </si>
  <si>
    <t>SUBCONTRATOS - CIMENTACION - CTO BOMBAS PCI</t>
  </si>
  <si>
    <t>T-02</t>
  </si>
  <si>
    <t>T02</t>
  </si>
  <si>
    <t>PISOS - CTO BOMBAS PCI</t>
  </si>
  <si>
    <t>T-02-01</t>
  </si>
  <si>
    <t>T0201</t>
  </si>
  <si>
    <t>MATERIALES, HERR Y EQ - PISOS - CTO BOMBAS PCI</t>
  </si>
  <si>
    <t>T-02-02</t>
  </si>
  <si>
    <t>T0202</t>
  </si>
  <si>
    <t>MO - PISOS - CTO BOMBAS PCI</t>
  </si>
  <si>
    <t>T-02-03</t>
  </si>
  <si>
    <t>T0203</t>
  </si>
  <si>
    <t>SERVICIOS PROFESIONALES - PISOS - CTO BOMBAS PCI</t>
  </si>
  <si>
    <t>T-03</t>
  </si>
  <si>
    <t>T03</t>
  </si>
  <si>
    <t>ALBAÑILERIAS - CTO BOMBAS PCI</t>
  </si>
  <si>
    <t>T-03-01</t>
  </si>
  <si>
    <t>T031</t>
  </si>
  <si>
    <t>MATERIALES, HERR Y EQ - ALBAÑILERIAS - CTO BOMBAS PCI</t>
  </si>
  <si>
    <t>T-03-02</t>
  </si>
  <si>
    <t>T032</t>
  </si>
  <si>
    <t>MO - ALBAÑILERIAS - CTO BOMBAS PCI</t>
  </si>
  <si>
    <t>T-03-03</t>
  </si>
  <si>
    <t>T033</t>
  </si>
  <si>
    <t>SUBCONTRATOS - ALBAÑILERIAS - CTO BOMBAS PCI</t>
  </si>
  <si>
    <t>T-04</t>
  </si>
  <si>
    <t>T04</t>
  </si>
  <si>
    <t>ACABADOS - CTO BOMBAS PCI</t>
  </si>
  <si>
    <t>T-04-01</t>
  </si>
  <si>
    <t>T041</t>
  </si>
  <si>
    <t>SERVICIOS PROFESIONALES - ACABADOS - CTO BOMBAS PCI</t>
  </si>
  <si>
    <t>T-04-02</t>
  </si>
  <si>
    <t>T042</t>
  </si>
  <si>
    <t>SUBCONTRATOS - ACABADOS - CTO BOMBAS PCI</t>
  </si>
  <si>
    <t>T-05</t>
  </si>
  <si>
    <t>T05</t>
  </si>
  <si>
    <t>ESTRUCTURA METALICA - CTO BOMBAS PCI</t>
  </si>
  <si>
    <t>T-05-01</t>
  </si>
  <si>
    <t>T051</t>
  </si>
  <si>
    <t>SUBCONTRATOS - ESTRUCTURA METALICA - CTO BOMBAS PCI</t>
  </si>
  <si>
    <t>T-06</t>
  </si>
  <si>
    <t>T06</t>
  </si>
  <si>
    <t>TECHUMBRE O CUBIERTAS- CTO BOMBAS PCI</t>
  </si>
  <si>
    <t>T-06-01</t>
  </si>
  <si>
    <t>T061</t>
  </si>
  <si>
    <t>SUBCONTRATOS - CUBIERTAS- CTO BOMBAS PCI</t>
  </si>
  <si>
    <t>T-07</t>
  </si>
  <si>
    <t>T07</t>
  </si>
  <si>
    <t>LAMINA EN FACHADA - CTO BOMBAS PCI</t>
  </si>
  <si>
    <t>T-07-01</t>
  </si>
  <si>
    <t>T071</t>
  </si>
  <si>
    <t>SUBCONTRATOS - LAMINA FACHADA - CTO BOMBAS PCI</t>
  </si>
  <si>
    <t>T-08</t>
  </si>
  <si>
    <t>T08</t>
  </si>
  <si>
    <t>INSTALACIONES - CTO BOMBAS PCI</t>
  </si>
  <si>
    <t>T-08-01</t>
  </si>
  <si>
    <t>T081</t>
  </si>
  <si>
    <t>SUBCONTRATOS - INSTALACIONES - CTO BOMBAS PCI</t>
  </si>
  <si>
    <t>U</t>
  </si>
  <si>
    <t>ESTACION CARBURACION - CENTRO DISTRIBUCION</t>
  </si>
  <si>
    <t>U-01</t>
  </si>
  <si>
    <t>U01</t>
  </si>
  <si>
    <t>CIMENTACION - ESTACION CARBURACION</t>
  </si>
  <si>
    <t>U-01-01</t>
  </si>
  <si>
    <t>U0101</t>
  </si>
  <si>
    <t>MATERIALES, HERR Y EQ - CIMENTACION - ESTACION CARBURACION</t>
  </si>
  <si>
    <t>U-01-02</t>
  </si>
  <si>
    <t>U0102</t>
  </si>
  <si>
    <t>MO - CIMENTACION - ESTACION CARBURACION</t>
  </si>
  <si>
    <t>U-01-03</t>
  </si>
  <si>
    <t>U0103</t>
  </si>
  <si>
    <t>SUBCONTRATOS - CIMENTACION - ESTACION CARBURACION</t>
  </si>
  <si>
    <t>U-02</t>
  </si>
  <si>
    <t>U02</t>
  </si>
  <si>
    <t>PISOS - ESTACION CARBURACION</t>
  </si>
  <si>
    <t>U-02-01</t>
  </si>
  <si>
    <t>U0201</t>
  </si>
  <si>
    <t>MATERIALES, HERR Y EQ - PISOS - ESTACION CARBURACION</t>
  </si>
  <si>
    <t>U-02-02</t>
  </si>
  <si>
    <t>U0202</t>
  </si>
  <si>
    <t>MO - PISOS - ESTACION CARBURACION</t>
  </si>
  <si>
    <t>U-02-03</t>
  </si>
  <si>
    <t>U0203</t>
  </si>
  <si>
    <t>SERVICISO PROFESIONALES - PISOS - ESTACION CARBURACION</t>
  </si>
  <si>
    <t>U-03</t>
  </si>
  <si>
    <t>U03</t>
  </si>
  <si>
    <t>ACABADOS - ESTACION CARBURACION</t>
  </si>
  <si>
    <t>U-03-01</t>
  </si>
  <si>
    <t>U0301</t>
  </si>
  <si>
    <t>SERVICISO PROFESIONALES - ACABADOS - ESTACION CARBURACION</t>
  </si>
  <si>
    <t>U-04</t>
  </si>
  <si>
    <t>U04</t>
  </si>
  <si>
    <t>ALBAÑILERIAS - ESTACION CARBURACION</t>
  </si>
  <si>
    <t>U-04-01</t>
  </si>
  <si>
    <t>U0401</t>
  </si>
  <si>
    <t>SUBCONTRATOS - ALBAÑILERIAS - ESTACION CARBURACION</t>
  </si>
  <si>
    <t>U-05</t>
  </si>
  <si>
    <t>U05</t>
  </si>
  <si>
    <t>ESTRUCTURA METALICA - ESTACION CARBURACION</t>
  </si>
  <si>
    <t>U-05-01</t>
  </si>
  <si>
    <t>U0501</t>
  </si>
  <si>
    <t>SUBCONTRATOS - ESTRUCTURA METALICA - ESTACION CARBURACION</t>
  </si>
  <si>
    <t>U-06</t>
  </si>
  <si>
    <t>U06</t>
  </si>
  <si>
    <t>TECHUMBRE O CUBIERTAS - ESTACION CARBURACION</t>
  </si>
  <si>
    <t>U-06-01</t>
  </si>
  <si>
    <t>U0601</t>
  </si>
  <si>
    <t>SUBCONTRATOS - CUBIERTAS - ESTACION CARBURACION</t>
  </si>
  <si>
    <t>U-07</t>
  </si>
  <si>
    <t>U07</t>
  </si>
  <si>
    <t>INSTALACIONES - ESTACION CARBURACION</t>
  </si>
  <si>
    <t>U-07-01</t>
  </si>
  <si>
    <t>U0701</t>
  </si>
  <si>
    <t>SUBCONTRATOS - INSTALACIONES - ESTACION CARBURACION</t>
  </si>
  <si>
    <t>V</t>
  </si>
  <si>
    <t>BAE - CENTRO DISTRIBUCION</t>
  </si>
  <si>
    <t>V-01</t>
  </si>
  <si>
    <t>V01</t>
  </si>
  <si>
    <t>SERVICIOS PROFESIONALES - BAE</t>
  </si>
  <si>
    <t>W</t>
  </si>
  <si>
    <t>PODIUM Y ANFITEATRO - CENTRO DISTRIBUCION</t>
  </si>
  <si>
    <t>W-01</t>
  </si>
  <si>
    <t>W01</t>
  </si>
  <si>
    <t>MATERIALES, HERR Y EQ - PODIUM Y ANFITEATRO</t>
  </si>
  <si>
    <t>W-02</t>
  </si>
  <si>
    <t>W2</t>
  </si>
  <si>
    <t>MO - PODIUM Y ANFITEATRO</t>
  </si>
  <si>
    <t>W-03</t>
  </si>
  <si>
    <t>W3</t>
  </si>
  <si>
    <t>SERVICIOS PROFESIONALES - PODIUM Y ANFITEATRO</t>
  </si>
  <si>
    <t>X</t>
  </si>
  <si>
    <t>PLANTA DE TRATAMIENTO - CENTRO DISTRIBUCION</t>
  </si>
  <si>
    <t>X-01</t>
  </si>
  <si>
    <t>X01</t>
  </si>
  <si>
    <t>MATERIALES, HERR Y EQ - PLANTA DE TRATAMIENTO</t>
  </si>
  <si>
    <t>X-02</t>
  </si>
  <si>
    <t>X02</t>
  </si>
  <si>
    <t>MO - PLANTA DE TRATAMIENTO</t>
  </si>
  <si>
    <t>Y</t>
  </si>
  <si>
    <t>ACCESO A CENTRO - ETAPA 02</t>
  </si>
  <si>
    <t>Y-01</t>
  </si>
  <si>
    <t>Y01</t>
  </si>
  <si>
    <t>TERRACERIAS - ACCESO ETAPA 02</t>
  </si>
  <si>
    <t>Y-01-01</t>
  </si>
  <si>
    <t>Y011</t>
  </si>
  <si>
    <t>SUBCONTRATOS - TERRACERIAS - ACCESO ETAPA 02</t>
  </si>
  <si>
    <t>Z</t>
  </si>
  <si>
    <t>ACCESO A CENTRO - ETAPA 03</t>
  </si>
  <si>
    <t>Z-01</t>
  </si>
  <si>
    <t>Z01</t>
  </si>
  <si>
    <t>ALBAÑILERIAS - ACCESO ETAPA 03</t>
  </si>
  <si>
    <t>Z-01-01</t>
  </si>
  <si>
    <t>Z011</t>
  </si>
  <si>
    <t>MATERIALES, HERR Y EQ - ALBAÑILERIAS - ACCESO ETAPA 03</t>
  </si>
  <si>
    <t>Z-01-20</t>
  </si>
  <si>
    <t>Z012</t>
  </si>
  <si>
    <t>MO - ALBAÑILERIAS - ACCESO ETAPA 03</t>
  </si>
  <si>
    <t>Descripción partida</t>
  </si>
  <si>
    <t>Renglón</t>
  </si>
  <si>
    <t>Concepto</t>
  </si>
  <si>
    <t>Estimado</t>
  </si>
  <si>
    <t>Unidad</t>
  </si>
  <si>
    <t>Por estimar</t>
  </si>
  <si>
    <t>Costo</t>
  </si>
  <si>
    <t>C0103</t>
  </si>
  <si>
    <t>P-SUB-EM-04</t>
  </si>
  <si>
    <t>MONTAJE ESTRUCTURA METALICA - CIMENTACION - OFICINAS RECIBO</t>
  </si>
  <si>
    <t>LOTE</t>
  </si>
  <si>
    <t>C0701</t>
  </si>
  <si>
    <t>P-SUB-EM-05</t>
  </si>
  <si>
    <t>MONTAJE ESTRUCTURA METALICA - ESTRUCTURA METALICA - OF RECIBO</t>
  </si>
  <si>
    <t>D0103</t>
  </si>
  <si>
    <t>P-SUB-EM-06</t>
  </si>
  <si>
    <t>MONTAJE ESTRUCTURA METALICA - CIMENTACION - OF PRINCIPALES</t>
  </si>
  <si>
    <t>D0701</t>
  </si>
  <si>
    <t>P-SUB-EM-07</t>
  </si>
  <si>
    <t>MONTAJE ESTRUCTURA METALICA  - ESTRUCTURA METALICA - OFICINAS PRINCIPALES</t>
  </si>
  <si>
    <t>I0103</t>
  </si>
  <si>
    <t>P-SUB-EM-16</t>
  </si>
  <si>
    <t>MONTAJE ESTRUCTURA METALICA - CIMENTACION - CASETA ACCESO TRAILERS</t>
  </si>
  <si>
    <t>I0701</t>
  </si>
  <si>
    <t>P-SUB-EM-17</t>
  </si>
  <si>
    <t>MONTAJE ESTRUCTURA METALICA - ESTRUCTURA METALICA - CASETA ACCESO TRAILERS</t>
  </si>
  <si>
    <t>L0103</t>
  </si>
  <si>
    <t xml:space="preserve">SUBCONTRATOS - CIMENTACION - CASETA SALIDA TRAILERS </t>
  </si>
  <si>
    <t>P-SUB-EM-21</t>
  </si>
  <si>
    <t>MONTAJE ESTRUCTURA METALICA - CIMENTACION - CASETA SALIDA TRAILERS</t>
  </si>
  <si>
    <t>L0701</t>
  </si>
  <si>
    <t>P-SUB-EM-22</t>
  </si>
  <si>
    <t>MONTAJE ESTRUCTURA METALICA - ESTRUCTURA METALICA - CASETA SALIDA TRAILERS</t>
  </si>
  <si>
    <t>P-SUB-EM-29</t>
  </si>
  <si>
    <t>MONTAJE ESTRUCTURA METALICA - CIMENTACION - SUBESTACION RECEPTORA</t>
  </si>
  <si>
    <t>P-SUB-EM-30</t>
  </si>
  <si>
    <t>MONTAJE ESTRUCTURA METALICA - ESTRUCTURA METALICA - SUBESTACION RECEPTORA</t>
  </si>
  <si>
    <t>P-SUB-EM-34</t>
  </si>
  <si>
    <t>MONTAJE ESTRUCTURA METALICA - ESTRUCTURA METALICA - TALLER BODEGAS</t>
  </si>
  <si>
    <t>SUBCONTRATOS - EM - NAVE PRINCIPAL</t>
  </si>
  <si>
    <t>P-SUB-EM-38</t>
  </si>
  <si>
    <t>MONTAJE ESTRUCTURA METALICA - ESTRUCTURA METALICA - CTO BOMBAS PCI</t>
  </si>
  <si>
    <t>MONTAJE ESTRUCTURA METALICA -ESTRUCTURA METALICA - BASCULA</t>
  </si>
  <si>
    <t>P-SUB-EM-001</t>
  </si>
  <si>
    <t>MONTAJE ESTRUCTURA METALICA  - ESTRUCTURA METALICA  - CASETA ASOCIADOS</t>
  </si>
  <si>
    <t>MONTAJE ESTRUCTURA METALICA  - ESTRUCTURA METALICA - TMG</t>
  </si>
  <si>
    <t>A0504</t>
  </si>
  <si>
    <t>J0601</t>
  </si>
  <si>
    <t>MONTAJE ESTRUCTURA METALICA - ESTRUCTURA METALICA - ESTACION CARBURACION</t>
  </si>
  <si>
    <t>B0701</t>
  </si>
  <si>
    <t>MONTAJE ESTRUCTURA METALICA - ESTRUCTURA METALICA - NAVE</t>
  </si>
  <si>
    <t>N0501</t>
  </si>
  <si>
    <t>P-SUB-EM-03</t>
  </si>
  <si>
    <t>MONTAJE ESTRUCTURA METALICA - ESTRUCTURA METALICA - CTO RESIDUO PELIGROSOS</t>
  </si>
  <si>
    <t>SUBCONTRATOS - ESTRUCTURA METALICA - CUARTO LAGUNA</t>
  </si>
  <si>
    <t>SUBCONTRATOS - ESTRUCTURA METALICA - CUARTO BOMBAS PCI</t>
  </si>
  <si>
    <t>P-SUB-EM-18</t>
  </si>
  <si>
    <t>P-SUB-EM-36</t>
  </si>
  <si>
    <t>MONTAJE ESTRUCTURA METALICA - ALBAÑILERIA - GRAL</t>
  </si>
  <si>
    <t>F0601</t>
  </si>
  <si>
    <t>SUBCONTRATOS - EM - CUARTO RESIDUOS PELIGROSOS</t>
  </si>
  <si>
    <t>P-SUB-EM-11</t>
  </si>
  <si>
    <t>P-SUB-EM-40</t>
  </si>
  <si>
    <t>SUBCONTRATOS - ESTRUCTURA METALICA - CASETA ACCESO ASOCIADOS</t>
  </si>
  <si>
    <t>P-SUB-EM-15</t>
  </si>
  <si>
    <t>P-SUB-EM-26</t>
  </si>
  <si>
    <t>MONTAJE ESTRUCTURA METALICA - ESTRUCTURA METALICA - CTO LAGUNA</t>
  </si>
  <si>
    <t>H0501</t>
  </si>
  <si>
    <t>T0501</t>
  </si>
  <si>
    <t>ARQ. DIANA SALGADO</t>
  </si>
  <si>
    <t>ORDEN DE TRABAJO</t>
  </si>
  <si>
    <t>NUEVO</t>
  </si>
  <si>
    <t>CAMBIO DE MARCAS DE EQUIPOS DE HVAC</t>
  </si>
  <si>
    <t>RIEGO</t>
  </si>
  <si>
    <t>AJUSTE DE FARMACIA Y COCINA</t>
  </si>
  <si>
    <t>AJUSTE DE MICRORED</t>
  </si>
  <si>
    <t>AJUSTE DE PLAFÓN EN NAVE</t>
  </si>
  <si>
    <t>ACTUALIZAR SISTEMA DE INTRUSIÓN</t>
  </si>
  <si>
    <t>AJUSTE DE PLANTAS DE EMERGENCIA</t>
  </si>
  <si>
    <t xml:space="preserve">PLAN C </t>
  </si>
  <si>
    <t xml:space="preserve">REINCORPORACION DE UPS </t>
  </si>
  <si>
    <t>LEY SILLA</t>
  </si>
  <si>
    <t>FUMADORES</t>
  </si>
  <si>
    <t xml:space="preserve">CONTROL DE FAUNA </t>
  </si>
  <si>
    <t xml:space="preserve">REINGENIERIA PLAFON SAM´S PBL </t>
  </si>
  <si>
    <t xml:space="preserve">ACTUALIZACION DE ZONA DE MANTENIMIENTO </t>
  </si>
  <si>
    <t>ACTUALIZACIÓN DE CAMARAS CCTV</t>
  </si>
  <si>
    <t>DROPLOTS Y BAHIA DE ARMADO</t>
  </si>
  <si>
    <t>AJUSTES ARQUITECTONICOS OF. PRINCIPALES 2</t>
  </si>
  <si>
    <t xml:space="preserve">AJUSTES POR REVISIÓN DE SEGURIDAD </t>
  </si>
  <si>
    <t>OT - 06 / CONTRATISTA 0100028 CONTRATO 3 INGENOR</t>
  </si>
  <si>
    <t>RECLASIFICACION</t>
  </si>
  <si>
    <t>OT- 15 (SIGUE SIN PEDIDO) / CONTRATISTA 0100028 CONTRATO 3 INGENOR</t>
  </si>
  <si>
    <t>OT- 16 Y OT - 17  (SIGUEN SIN PEDIDO) / CONTRATISTA 0100028 CONTRATO 3 INGENOR</t>
  </si>
  <si>
    <t>OT - 21 / CONTRATISTA 0100028 CONTRATO 3 INGENOR</t>
  </si>
  <si>
    <t>OT - 18 (SIGUE SIN PEDIDO) / CONTRATISTA 0100028 CONTRATO 3 INGENOR</t>
  </si>
  <si>
    <t>OT - 14 (SIGUE SIN PEDIDO) / CONTRATISTA 0100028 CONTRATO 3 INGENOR</t>
  </si>
  <si>
    <t>OT - 22 / CONTRATISTA 0100028 CONTRATO 3 INGENOR</t>
  </si>
  <si>
    <t>OT - 42 DE CONSTRUCCIÓN / CONTRATISTA 0100028 CONTRATO 3 INGENOR</t>
  </si>
  <si>
    <t>CARGO PROYECTOS NO HAY OT ADICIONAL / CONTRATISTA 0100028 CONTRATO 3 INGENOR</t>
  </si>
  <si>
    <t>OT - 31 (SIGUE SIN PEDIDO) / CONTRATISTA 0100028 CONTRATO 3 INGENOR</t>
  </si>
  <si>
    <t>OT - 28 (SIGUE SIN PEDIDO) / CONTRATISTA 0100028 CONTRATO 3 INGENOR</t>
  </si>
  <si>
    <t>OT - 30 (SIGUE SIN PEDIDO) / CONTRATISTA 0100028 CONTRATO 3 INGENOR</t>
  </si>
  <si>
    <t>CARGO PROYECTOS NO HAY OT ADICIONAL O QUE SE GESTIONA CON SU GERENCIA / CONTRATISTA 0100028 CONTRATO 3 INGENOR</t>
  </si>
  <si>
    <t>OT - 33 (SIGUE SIN PEDIDO) / CONTRATISTA 0100028 CONTRATO 3 INGENOR</t>
  </si>
  <si>
    <t>OT - 32  (SIGUE SIN PEDIDO) / CONTRATISTA 0100028 CONTRATO 3 INGENOR</t>
  </si>
  <si>
    <t>OT - 29 (SIGUE SIN PEDIDO) / CONTRATISTA 0100028 CONTRATO 3 INGENOR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</si>
</sst>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&quot;$&quot;#,##0.00"/>
    <numFmt numFmtId="165" formatCode="#,##0.00_ ;[Red]\-#,##0.00\ 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sz val="10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color theme="0" tint="-0.499984740745262"/>
      <name val="Calibri"/>
      <family val="2"/>
      <scheme val="minor"/>
    </font>
    <font>
      <sz val="8"/>
      <color theme="1"/>
      <name val="Cambria"/>
      <family val="1"/>
      <scheme val="major"/>
    </font>
    <font>
      <b/>
      <sz val="11"/>
      <color rgb="FF000000"/>
      <name val="Calibri"/>
      <family val="2"/>
    </font>
    <font>
      <sz val="10"/>
      <name val="Arial"/>
      <family val="2"/>
    </font>
    <font>
      <b/>
      <sz val="12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1"/>
      <scheme val="maj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80001220740379042"/>
        <bgColor indexed="64"/>
      </patternFill>
    </fill>
    <fill>
      <patternFill patternType="solid">
        <fgColor theme="5" tint="0.80001220740379042"/>
        <bgColor indexed="64"/>
      </patternFill>
    </fill>
    <fill>
      <patternFill patternType="solid">
        <fgColor theme="6" tint="0.80001220740379042"/>
        <bgColor indexed="64"/>
      </patternFill>
    </fill>
    <fill>
      <patternFill patternType="solid">
        <fgColor theme="7" tint="0.80001220740379042"/>
        <bgColor indexed="64"/>
      </patternFill>
    </fill>
    <fill>
      <patternFill patternType="solid">
        <fgColor theme="8" tint="0.80001220740379042"/>
        <bgColor indexed="64"/>
      </patternFill>
    </fill>
    <fill>
      <patternFill patternType="solid">
        <fgColor theme="9" tint="0.800012207403790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40000610370189521"/>
        <bgColor indexed="64"/>
      </patternFill>
    </fill>
    <fill>
      <patternFill patternType="solid">
        <fgColor theme="5" tint="0.40000610370189521"/>
        <bgColor indexed="64"/>
      </patternFill>
    </fill>
    <fill>
      <patternFill patternType="solid">
        <fgColor theme="6" tint="0.40000610370189521"/>
        <bgColor indexed="64"/>
      </patternFill>
    </fill>
    <fill>
      <patternFill patternType="solid">
        <fgColor theme="7" tint="0.40000610370189521"/>
        <bgColor indexed="64"/>
      </patternFill>
    </fill>
    <fill>
      <patternFill patternType="solid">
        <fgColor theme="8" tint="0.40000610370189521"/>
        <bgColor indexed="64"/>
      </patternFill>
    </fill>
    <fill>
      <patternFill patternType="solid">
        <fgColor theme="9" tint="0.400006103701895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7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0" applyNumberFormat="0" applyBorder="0" applyAlignment="0" applyProtection="0"/>
    <xf numFmtId="0" fontId="16" fillId="28" borderId="19" applyNumberFormat="0" applyAlignment="0" applyProtection="0"/>
    <xf numFmtId="0" fontId="17" fillId="29" borderId="22" applyNumberFormat="0" applyAlignment="0" applyProtection="0"/>
    <xf numFmtId="0" fontId="18" fillId="0" borderId="0" applyNumberFormat="0" applyFill="0" applyBorder="0" applyAlignment="0" applyProtection="0"/>
    <xf numFmtId="0" fontId="19" fillId="30" borderId="0" applyNumberFormat="0" applyBorder="0" applyAlignment="0" applyProtection="0"/>
    <xf numFmtId="0" fontId="20" fillId="0" borderId="16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31" borderId="19" applyNumberFormat="0" applyAlignment="0" applyProtection="0"/>
    <xf numFmtId="0" fontId="24" fillId="0" borderId="21" applyNumberFormat="0" applyFill="0" applyAlignment="0" applyProtection="0"/>
    <xf numFmtId="0" fontId="13" fillId="32" borderId="23" applyNumberFormat="0" applyFont="0" applyAlignment="0" applyProtection="0"/>
    <xf numFmtId="0" fontId="25" fillId="28" borderId="20" applyNumberFormat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28" fillId="0" borderId="0"/>
  </cellStyleXfs>
  <cellXfs count="51">
    <xf numFmtId="0" fontId="0" fillId="0" borderId="0" xfId="0"/>
    <xf numFmtId="0" fontId="2" fillId="0" borderId="0" xfId="0" applyFont="1" applyAlignment="1" applyProtection="1">
      <alignment horizontal="left"/>
      <protection locked="0"/>
    </xf>
    <xf numFmtId="0" fontId="2" fillId="0" borderId="13" xfId="0" applyFont="1" applyBorder="1" applyAlignment="1" applyProtection="1">
      <alignment horizontal="left"/>
      <protection locked="0"/>
    </xf>
    <xf numFmtId="14" fontId="2" fillId="2" borderId="8" xfId="0" applyNumberFormat="1" applyFont="1" applyFill="1" applyBorder="1" applyAlignment="1" applyProtection="1">
      <alignment horizontal="center"/>
      <protection locked="0"/>
    </xf>
    <xf numFmtId="49" fontId="8" fillId="0" borderId="9" xfId="0" applyNumberFormat="1" applyFont="1" applyBorder="1" applyAlignment="1" applyProtection="1">
      <alignment horizontal="left" vertical="center" wrapText="1"/>
      <protection locked="0"/>
    </xf>
    <xf numFmtId="43" fontId="4" fillId="0" borderId="1" xfId="1" applyFont="1" applyBorder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9" fillId="0" borderId="0" xfId="0" applyFont="1" applyAlignment="1">
      <alignment vertical="center"/>
    </xf>
    <xf numFmtId="0" fontId="3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7" fillId="0" borderId="0" xfId="0" applyFont="1"/>
    <xf numFmtId="0" fontId="6" fillId="0" borderId="0" xfId="0" applyFont="1"/>
    <xf numFmtId="0" fontId="5" fillId="0" borderId="0" xfId="0" applyFont="1"/>
    <xf numFmtId="8" fontId="4" fillId="0" borderId="1" xfId="1" applyNumberFormat="1" applyFont="1" applyBorder="1" applyProtection="1">
      <protection locked="0"/>
    </xf>
    <xf numFmtId="164" fontId="4" fillId="0" borderId="1" xfId="1" applyNumberFormat="1" applyFont="1" applyBorder="1" applyAlignment="1" applyProtection="1">
      <alignment horizontal="center"/>
      <protection locked="0"/>
    </xf>
    <xf numFmtId="43" fontId="4" fillId="0" borderId="8" xfId="1" applyFont="1" applyBorder="1" applyAlignment="1" applyProtection="1">
      <alignment horizontal="left"/>
      <protection locked="0"/>
    </xf>
    <xf numFmtId="0" fontId="2" fillId="0" borderId="8" xfId="0" applyFont="1" applyBorder="1" applyAlignment="1" applyProtection="1">
      <alignment horizontal="center"/>
      <protection locked="0"/>
    </xf>
    <xf numFmtId="165" fontId="4" fillId="0" borderId="1" xfId="1" applyNumberFormat="1" applyFont="1" applyBorder="1" applyAlignment="1" applyProtection="1">
      <alignment horizontal="center"/>
      <protection locked="0"/>
    </xf>
    <xf numFmtId="165" fontId="0" fillId="0" borderId="1" xfId="1" applyNumberFormat="1" applyFont="1" applyBorder="1" applyAlignment="1" applyProtection="1">
      <alignment horizontal="center"/>
      <protection locked="0"/>
    </xf>
    <xf numFmtId="49" fontId="13" fillId="0" borderId="0" xfId="5" applyNumberFormat="1"/>
    <xf numFmtId="49" fontId="13" fillId="0" borderId="0" xfId="5" applyNumberFormat="1" applyAlignment="1">
      <alignment wrapText="1"/>
    </xf>
    <xf numFmtId="49" fontId="0" fillId="0" borderId="0" xfId="5" applyNumberFormat="1" applyFont="1"/>
    <xf numFmtId="0" fontId="0" fillId="0" borderId="0" xfId="5" applyFont="1"/>
    <xf numFmtId="0" fontId="13" fillId="0" borderId="0" xfId="5"/>
    <xf numFmtId="43" fontId="4" fillId="0" borderId="1" xfId="1" applyFont="1" applyBorder="1" applyAlignment="1" applyProtection="1">
      <alignment horizontal="left" wrapText="1"/>
      <protection locked="0"/>
    </xf>
    <xf numFmtId="0" fontId="0" fillId="33" borderId="0" xfId="0" applyFill="1"/>
    <xf numFmtId="44" fontId="0" fillId="0" borderId="0" xfId="45" applyFont="1"/>
    <xf numFmtId="44" fontId="0" fillId="33" borderId="0" xfId="45" applyFont="1" applyFill="1"/>
    <xf numFmtId="0" fontId="28" fillId="0" borderId="0" xfId="46"/>
    <xf numFmtId="49" fontId="28" fillId="0" borderId="0" xfId="46" applyNumberFormat="1"/>
    <xf numFmtId="3" fontId="28" fillId="0" borderId="0" xfId="46" applyNumberFormat="1"/>
    <xf numFmtId="44" fontId="28" fillId="0" borderId="0" xfId="45" applyFont="1"/>
    <xf numFmtId="49" fontId="28" fillId="33" borderId="0" xfId="46" applyNumberFormat="1" applyFill="1"/>
    <xf numFmtId="44" fontId="28" fillId="33" borderId="0" xfId="45" applyFont="1" applyFill="1"/>
    <xf numFmtId="0" fontId="4" fillId="0" borderId="10" xfId="0" applyFont="1" applyBorder="1" applyAlignment="1">
      <alignment horizontal="center"/>
    </xf>
    <xf numFmtId="14" fontId="2" fillId="2" borderId="1" xfId="0" applyNumberFormat="1" applyFont="1" applyFill="1" applyBorder="1" applyAlignment="1" applyProtection="1">
      <alignment horizontal="left"/>
      <protection locked="0"/>
    </xf>
    <xf numFmtId="0" fontId="2" fillId="2" borderId="2" xfId="0" applyFont="1" applyFill="1" applyBorder="1" applyAlignment="1" applyProtection="1">
      <alignment horizontal="left"/>
      <protection locked="0"/>
    </xf>
    <xf numFmtId="0" fontId="2" fillId="2" borderId="8" xfId="0" applyFont="1" applyFill="1" applyBorder="1" applyAlignment="1" applyProtection="1">
      <alignment horizontal="left"/>
      <protection locked="0"/>
    </xf>
    <xf numFmtId="0" fontId="11" fillId="0" borderId="0" xfId="0" applyFont="1" applyAlignment="1">
      <alignment horizontal="center"/>
    </xf>
  </cellXfs>
  <cellStyles count="47">
    <cellStyle name="20% - Accent1" xfId="6" xr:uid="{57FE19DB-44B3-4B99-B5D4-EB3047C421F8}"/>
    <cellStyle name="20% - Accent2" xfId="7" xr:uid="{0D583438-8E50-4FAB-B334-FE1D4C2534B4}"/>
    <cellStyle name="20% - Accent3" xfId="8" xr:uid="{816AF102-71CE-4B19-BBE6-1C2595C54D70}"/>
    <cellStyle name="20% - Accent4" xfId="9" xr:uid="{714AEAED-D0A9-4FBC-AB6D-9A971185F275}"/>
    <cellStyle name="20% - Accent5" xfId="10" xr:uid="{5CBC3319-3C87-4C42-906C-C27E96242974}"/>
    <cellStyle name="20% - Accent6" xfId="11" xr:uid="{6BAEEC7F-71AA-4CBF-A2B2-904689D45B20}"/>
    <cellStyle name="40% - Accent1" xfId="12" xr:uid="{4FA1E281-7398-442A-BB3A-630C1BC002DD}"/>
    <cellStyle name="40% - Accent2" xfId="13" xr:uid="{CD6EF208-EEAD-4FBB-AA85-376B55CBDE32}"/>
    <cellStyle name="40% - Accent3" xfId="14" xr:uid="{AE0055AD-E530-4C71-A5C9-891323746CCD}"/>
    <cellStyle name="40% - Accent4" xfId="15" xr:uid="{44190D65-1F33-4A66-B4F7-8CBDAF5F2B04}"/>
    <cellStyle name="40% - Accent5" xfId="16" xr:uid="{BF8FCFBE-CD00-45F9-BAEE-723A3C7BF820}"/>
    <cellStyle name="40% - Accent6" xfId="17" xr:uid="{BA631868-D450-4C14-BDB6-2995AA61E12D}"/>
    <cellStyle name="60% - Accent1" xfId="18" xr:uid="{3FB3B743-7590-49AD-9DEA-7402E7709AD6}"/>
    <cellStyle name="60% - Accent2" xfId="19" xr:uid="{593F1213-51B1-421C-87F1-1B695E428A99}"/>
    <cellStyle name="60% - Accent3" xfId="20" xr:uid="{3CE0E5E1-9A36-42C4-A34E-5F6D6E541EC5}"/>
    <cellStyle name="60% - Accent4" xfId="21" xr:uid="{22EDE7D7-8350-4973-B7B6-64481033E90C}"/>
    <cellStyle name="60% - Accent5" xfId="22" xr:uid="{DFF78253-93AD-4459-B316-8BAD354C94BD}"/>
    <cellStyle name="60% - Accent6" xfId="23" xr:uid="{7E35C63B-54B6-48CD-8DFB-8B8F12B74A5D}"/>
    <cellStyle name="Accent1" xfId="24" xr:uid="{8B4C61EA-3382-4F7F-A39D-7AF5171A9FC2}"/>
    <cellStyle name="Accent2" xfId="25" xr:uid="{5E5611E6-AE22-4571-9388-DD0BD9C157CD}"/>
    <cellStyle name="Accent3" xfId="26" xr:uid="{B4872A7E-FB24-4DA6-BEF4-F33780C43D38}"/>
    <cellStyle name="Accent4" xfId="27" xr:uid="{E02BD988-4481-4727-9D89-ED22839A6F25}"/>
    <cellStyle name="Accent5" xfId="28" xr:uid="{F807921B-5FAC-455C-AB55-B2BBA72AC7CE}"/>
    <cellStyle name="Accent6" xfId="29" xr:uid="{FF2DA7D3-A841-4B4F-AFD4-CD7936BDB72A}"/>
    <cellStyle name="Bad" xfId="30" xr:uid="{5E72D690-E6C6-4869-9DE6-8384E0046A19}"/>
    <cellStyle name="Calculation" xfId="31" xr:uid="{E3043A9D-FB85-4366-BB7B-73D0A49DA6DD}"/>
    <cellStyle name="Check Cell" xfId="32" xr:uid="{B56684CD-E7A2-4376-80EE-B2B5B163D0B2}"/>
    <cellStyle name="Explanatory Text" xfId="33" xr:uid="{23C8C0D9-9812-4394-822F-96ADFE990A60}"/>
    <cellStyle name="Good" xfId="34" xr:uid="{BA37B77B-D827-4002-A2F2-5023F7BA7AD3}"/>
    <cellStyle name="Heading 1" xfId="35" xr:uid="{1AC7D2D0-CAD9-4985-BB8B-364835010E46}"/>
    <cellStyle name="Heading 2" xfId="36" xr:uid="{EF24C175-5A03-4DF4-92D2-1CE4974FEBCB}"/>
    <cellStyle name="Heading 3" xfId="37" xr:uid="{A9E28EBE-755B-48C5-B044-D97923073BBE}"/>
    <cellStyle name="Heading 4" xfId="38" xr:uid="{EF33CC97-22AC-4731-AC7A-73466C9A8CAE}"/>
    <cellStyle name="Input" xfId="39" xr:uid="{4C716A34-9B96-4402-92EE-54EAB3A7C9DF}"/>
    <cellStyle name="Linked Cell" xfId="40" xr:uid="{8449250F-7D86-4685-8A09-5DF1639049BB}"/>
    <cellStyle name="Millares" xfId="1" builtinId="3"/>
    <cellStyle name="Moneda" xfId="45" builtinId="4"/>
    <cellStyle name="Normal" xfId="0" builtinId="0"/>
    <cellStyle name="Normal 3" xfId="4" xr:uid="{D83A2C32-551A-4399-9A78-17E5DA5064BF}"/>
    <cellStyle name="Normal 4 2" xfId="2" xr:uid="{4A1A4CED-1FC8-4431-BDE2-BA6E5B5538A4}"/>
    <cellStyle name="Normal 5" xfId="3" xr:uid="{1A750A94-43F9-4043-AAF1-6B07DCF06050}"/>
    <cellStyle name="Normal_Hoja1" xfId="5" xr:uid="{C34F03E3-7A21-4336-9433-5A5E887E3BD8}"/>
    <cellStyle name="Normal_Hoja2" xfId="46" xr:uid="{B22FAB8B-B509-4999-B9BC-F57EEAC8817C}"/>
    <cellStyle name="Note" xfId="41" xr:uid="{5C8B4134-223B-47E1-AB2E-1E840FF3DF79}"/>
    <cellStyle name="Output" xfId="42" xr:uid="{A4BFFAB2-409F-4926-B845-81A2767FD5CF}"/>
    <cellStyle name="Title" xfId="43" xr:uid="{29203DA6-642F-46B7-ADEB-894E9C4C4295}"/>
    <cellStyle name="Warning Text" xfId="44" xr:uid="{8644F866-7E37-42A6-8781-2E49B6435490}"/>
  </cellStyles>
  <dxfs count="5"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2057401</xdr:colOff>
      <xdr:row>0</xdr:row>
      <xdr:rowOff>56450</xdr:rowOff>
    </xdr:from>
    <xdr:to>
      <xdr:col>8</xdr:col>
      <xdr:colOff>4381499</xdr:colOff>
      <xdr:row>3</xdr:row>
      <xdr:rowOff>18203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1" y="56450"/>
          <a:ext cx="2324098" cy="5679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9F1F0B1-339B-430F-AAF3-7F22D62F2569}" name="CATALOGO_PARTIDAS" displayName="CATALOGO_PARTIDAS" ref="B2:B413" totalsRowShown="0">
  <autoFilter ref="B2:B413" xr:uid="{79F1F0B1-339B-430F-AAF3-7F22D62F2569}"/>
  <tableColumns count="1">
    <tableColumn id="1" xr3:uid="{0975965A-E4AF-4BF9-98DB-689F56642F9F}" name="PARTI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2FC9F2-1CBB-4DB4-9926-54546D981A50}" name="Tabla1" displayName="Tabla1" ref="B5:F642" totalsRowShown="0">
  <autoFilter ref="B5:F642" xr:uid="{E62FC9F2-1CBB-4DB4-9926-54546D981A50}"/>
  <tableColumns count="5">
    <tableColumn id="1" xr3:uid="{9016C37A-8D62-4DFC-B52A-3A298E0D2247}" name="Partida" dataDxfId="4"/>
    <tableColumn id="2" xr3:uid="{5FF39EE1-8A00-4370-A5C8-367FF177EE0A}" name="Descripción" dataDxfId="3"/>
    <tableColumn id="3" xr3:uid="{EE8D2CE8-47AD-4F78-94AF-84979C4C1E43}" name="Descripción larga" dataDxfId="2"/>
    <tableColumn id="4" xr3:uid="{E0D1D883-37B8-4A77-8C60-83372D410C98}" name="NIVEL" dataDxfId="1">
      <calculatedColumnFormula>LEN(Tabla1[[#This Row],[Partida]])</calculatedColumnFormula>
    </tableColumn>
    <tableColumn id="5" xr3:uid="{4EBE8965-999E-4874-9E4C-0DD46DE65AE0}" name="CLAVE" dataDxfId="0">
      <calculatedColumnFormula>Tabla1[[#This Row],[Partida]]&amp;" : "&amp;Tabla1[[#This Row],[Descripción larga]]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rmato">
    <pageSetUpPr fitToPage="1"/>
  </sheetPr>
  <dimension ref="A1:M48"/>
  <sheetViews>
    <sheetView showGridLines="0" tabSelected="1" zoomScaleNormal="100" zoomScaleSheetLayoutView="90" workbookViewId="0">
      <selection activeCell="I24" sqref="I24"/>
    </sheetView>
  </sheetViews>
  <sheetFormatPr baseColWidth="10" defaultColWidth="11.42578125" defaultRowHeight="15" x14ac:dyDescent="0.25"/>
  <cols>
    <col min="1" max="1" width="8.5703125" style="7" customWidth="1"/>
    <col min="2" max="2" width="19.42578125" style="7" customWidth="1"/>
    <col min="3" max="3" width="18" style="7" customWidth="1"/>
    <col min="4" max="4" width="26.140625" style="7" bestFit="1" customWidth="1"/>
    <col min="5" max="5" width="18.42578125" style="7" bestFit="1" customWidth="1"/>
    <col min="6" max="7" width="13.5703125" style="7" customWidth="1"/>
    <col min="8" max="8" width="15.5703125" style="7" customWidth="1"/>
    <col min="9" max="9" width="72.42578125" style="7" customWidth="1"/>
    <col min="10" max="10" width="11.42578125" style="7"/>
    <col min="11" max="12" width="11.42578125" style="7" customWidth="1"/>
    <col min="13" max="16384" width="11.42578125" style="7"/>
  </cols>
  <sheetData>
    <row r="1" spans="1:13" ht="18.75" customHeight="1" x14ac:dyDescent="0.25">
      <c r="A1"/>
      <c r="B1"/>
      <c r="C1"/>
      <c r="D1"/>
      <c r="E1"/>
      <c r="F1" s="50"/>
      <c r="G1" s="50"/>
      <c r="H1" s="50"/>
      <c r="I1"/>
      <c r="J1"/>
      <c r="K1"/>
      <c r="L1" t="s">
        <v>0</v>
      </c>
      <c r="M1"/>
    </row>
    <row r="2" spans="1:13" ht="17.100000000000001" customHeight="1" x14ac:dyDescent="0.25">
      <c r="A2" s="13" t="s">
        <v>1</v>
      </c>
      <c r="B2" s="49"/>
      <c r="C2" s="49"/>
      <c r="D2" s="49"/>
      <c r="E2" s="14"/>
      <c r="F2" s="14"/>
      <c r="G2" s="14"/>
      <c r="H2" s="15"/>
      <c r="I2" s="15"/>
      <c r="J2"/>
      <c r="K2"/>
      <c r="L2"/>
      <c r="M2"/>
    </row>
    <row r="3" spans="1:13" ht="12.75" customHeight="1" x14ac:dyDescent="0.25">
      <c r="A3" s="13"/>
      <c r="B3" s="16"/>
      <c r="C3" s="15"/>
      <c r="D3" s="15"/>
      <c r="E3" s="15"/>
      <c r="F3" s="15"/>
      <c r="G3" s="15"/>
      <c r="H3" s="15"/>
      <c r="I3" s="15"/>
      <c r="J3"/>
      <c r="K3" s="14"/>
      <c r="L3"/>
      <c r="M3"/>
    </row>
    <row r="4" spans="1:13" ht="17.100000000000001" customHeight="1" x14ac:dyDescent="0.25">
      <c r="A4" s="6" t="s">
        <v>3</v>
      </c>
      <c r="B4" s="47"/>
      <c r="C4" s="48"/>
      <c r="D4" s="1"/>
      <c r="E4" s="1"/>
      <c r="F4" s="14"/>
      <c r="G4" s="15"/>
      <c r="H4" s="15"/>
      <c r="I4" s="15"/>
      <c r="J4"/>
      <c r="K4" s="14"/>
      <c r="L4"/>
      <c r="M4"/>
    </row>
    <row r="5" spans="1:13" ht="12.75" customHeight="1" x14ac:dyDescent="0.25">
      <c r="A5" s="6"/>
      <c r="B5" s="2"/>
      <c r="C5" s="1"/>
      <c r="D5" s="1"/>
      <c r="E5" s="1"/>
      <c r="F5" s="15"/>
      <c r="G5" s="15"/>
      <c r="H5" s="15"/>
      <c r="I5" s="15"/>
      <c r="J5"/>
      <c r="K5" s="14"/>
      <c r="L5"/>
      <c r="M5"/>
    </row>
    <row r="6" spans="1:13" ht="17.100000000000001" customHeight="1" x14ac:dyDescent="0.25">
      <c r="A6" s="6" t="s">
        <v>4</v>
      </c>
      <c r="B6" s="3"/>
      <c r="C6" s="1"/>
      <c r="D6" s="1"/>
      <c r="E6" s="1"/>
      <c r="F6" s="15"/>
      <c r="G6" s="15"/>
      <c r="H6" s="15"/>
      <c r="I6" s="15"/>
      <c r="J6"/>
      <c r="K6" s="14"/>
      <c r="L6"/>
      <c r="M6"/>
    </row>
    <row r="7" spans="1:13" ht="15.75" thickBot="1" x14ac:dyDescent="0.3">
      <c r="A7" s="14"/>
      <c r="B7" s="17"/>
      <c r="C7" s="14"/>
      <c r="D7" s="14"/>
      <c r="E7" s="14"/>
      <c r="F7" s="46" t="s">
        <v>5</v>
      </c>
      <c r="G7" s="46"/>
      <c r="H7" s="46"/>
      <c r="I7" s="14"/>
      <c r="J7"/>
      <c r="K7" s="14"/>
      <c r="L7"/>
      <c r="M7"/>
    </row>
    <row r="8" spans="1:13" ht="17.100000000000001" customHeight="1" thickBot="1" x14ac:dyDescent="0.3">
      <c r="A8" s="19" t="s">
        <v>6</v>
      </c>
      <c r="B8" s="8" t="s">
        <v>7</v>
      </c>
      <c r="C8" s="8" t="s">
        <v>8</v>
      </c>
      <c r="D8" s="8" t="s">
        <v>9</v>
      </c>
      <c r="E8" s="8" t="s">
        <v>10</v>
      </c>
      <c r="F8" s="9" t="s">
        <v>11</v>
      </c>
      <c r="G8" s="10" t="s">
        <v>12</v>
      </c>
      <c r="H8" s="10" t="s">
        <v>13</v>
      </c>
      <c r="I8" s="11" t="s">
        <v>14</v>
      </c>
      <c r="J8"/>
      <c r="K8" s="14"/>
      <c r="L8"/>
      <c r="M8"/>
    </row>
    <row r="9" spans="1:13" ht="40.35" customHeight="1" x14ac:dyDescent="0.25">
      <c r="A9" s="20">
        <v>1</v>
      </c>
      <c r="B9" s="28"/>
      <c r="C9" s="27"/>
      <c r="D9" s="5"/>
      <c r="E9" s="5"/>
      <c r="F9" s="30"/>
      <c r="G9" s="26"/>
      <c r="H9" s="25">
        <f>F9*G9</f>
      </c>
      <c r="I9" s="4"/>
      <c r="J9"/>
      <c r="K9" s="14"/>
      <c r="L9"/>
      <c r="M9"/>
    </row>
    <row r="10" spans="1:13" ht="40.35" customHeight="1" x14ac:dyDescent="0.25">
      <c r="A10" s="21">
        <v>2</v>
      </c>
      <c r="B10" s="28"/>
      <c r="C10" s="27"/>
      <c r="D10" s="5"/>
      <c r="E10" s="5"/>
      <c r="F10" s="30"/>
      <c r="G10" s="26"/>
      <c r="H10" s="25">
        <f>F10*G10</f>
      </c>
      <c r="I10" s="4"/>
      <c r="J10"/>
      <c r="K10" s="14"/>
      <c r="L10"/>
      <c r="M10"/>
    </row>
    <row r="11" spans="1:13" ht="40.35" customHeight="1" x14ac:dyDescent="0.25">
      <c r="A11" s="21">
        <v>3</v>
      </c>
      <c r="B11" s="28"/>
      <c r="C11" s="27"/>
      <c r="D11" s="5"/>
      <c r="E11" s="5"/>
      <c r="F11" s="30"/>
      <c r="G11" s="26"/>
      <c r="H11" s="25">
        <f t="shared" ref="H11:H26" si="0">F11*G11</f>
      </c>
      <c r="I11" s="4"/>
      <c r="J11"/>
      <c r="K11" s="14"/>
      <c r="L11"/>
      <c r="M11"/>
    </row>
    <row r="12" spans="1:13" ht="40.35" customHeight="1" x14ac:dyDescent="0.25">
      <c r="A12" s="21">
        <v>4</v>
      </c>
      <c r="B12" s="28"/>
      <c r="C12" s="27"/>
      <c r="D12" s="5"/>
      <c r="E12" s="5"/>
      <c r="F12" s="30"/>
      <c r="G12" s="26"/>
      <c r="H12" s="25">
        <f t="shared" si="0"/>
      </c>
      <c r="I12" s="4"/>
      <c r="J12"/>
      <c r="K12" s="18"/>
      <c r="L12"/>
      <c r="M12"/>
    </row>
    <row r="13" spans="1:13" ht="40.35" customHeight="1" thickBot="1" x14ac:dyDescent="0.3">
      <c r="A13" s="21">
        <v>5</v>
      </c>
      <c r="B13" s="28"/>
      <c r="C13" s="27"/>
      <c r="D13" s="36"/>
      <c r="E13" s="5"/>
      <c r="F13" s="29"/>
      <c r="G13" s="26"/>
      <c r="H13" s="25">
        <f t="shared" si="0"/>
      </c>
      <c r="I13" s="4"/>
      <c r="J13"/>
      <c r="K13" s="18"/>
      <c r="L13"/>
      <c r="M13"/>
    </row>
    <row r="14" spans="1:13" ht="40.35" customHeight="1" x14ac:dyDescent="0.25">
      <c r="A14" s="20">
        <v>6</v>
      </c>
      <c r="B14" s="28"/>
      <c r="C14" s="27"/>
      <c r="D14" s="36"/>
      <c r="E14" s="5"/>
      <c r="F14" s="29"/>
      <c r="G14" s="26"/>
      <c r="H14" s="25">
        <f t="shared" si="0"/>
      </c>
      <c r="I14" s="4"/>
      <c r="J14"/>
      <c r="K14" s="18"/>
      <c r="L14"/>
      <c r="M14"/>
    </row>
    <row r="15" spans="1:13" ht="40.35" customHeight="1" x14ac:dyDescent="0.25">
      <c r="A15" s="21">
        <v>7</v>
      </c>
      <c r="B15" s="28"/>
      <c r="C15" s="27"/>
      <c r="D15" s="36"/>
      <c r="E15" s="5"/>
      <c r="F15" s="29"/>
      <c r="G15" s="26"/>
      <c r="H15" s="25">
        <f t="shared" si="0"/>
      </c>
      <c r="I15" s="4"/>
      <c r="J15"/>
      <c r="K15" s="18"/>
      <c r="L15"/>
      <c r="M15"/>
    </row>
    <row r="16" spans="1:13" ht="40.35" customHeight="1" x14ac:dyDescent="0.25">
      <c r="A16" s="21">
        <v>8</v>
      </c>
      <c r="B16" s="28"/>
      <c r="C16" s="27"/>
      <c r="D16" s="36"/>
      <c r="E16" s="5"/>
      <c r="F16" s="29"/>
      <c r="G16" s="26"/>
      <c r="H16" s="25">
        <f t="shared" si="0"/>
      </c>
      <c r="I16" s="4"/>
      <c r="J16"/>
      <c r="K16" s="18"/>
      <c r="L16"/>
      <c r="M16"/>
    </row>
    <row r="17" spans="1:13" ht="40.35" customHeight="1" x14ac:dyDescent="0.25">
      <c r="A17" s="21">
        <v>9</v>
      </c>
      <c r="B17" s="28"/>
      <c r="C17" s="27"/>
      <c r="D17" s="5"/>
      <c r="E17" s="5"/>
      <c r="F17" s="29"/>
      <c r="G17" s="26"/>
      <c r="H17" s="25">
        <f t="shared" si="0"/>
      </c>
      <c r="I17" s="4"/>
      <c r="J17"/>
      <c r="K17" s="18"/>
      <c r="L17"/>
      <c r="M17"/>
    </row>
    <row r="18" spans="1:13" ht="40.35" customHeight="1" x14ac:dyDescent="0.25">
      <c r="A18" s="21">
        <v>10</v>
      </c>
      <c r="B18" s="28"/>
      <c r="C18" s="27"/>
      <c r="D18" s="5"/>
      <c r="E18" s="5"/>
      <c r="F18" s="29"/>
      <c r="G18" s="26"/>
      <c r="H18" s="25">
        <f t="shared" si="0"/>
      </c>
      <c r="I18" s="4"/>
      <c r="J18"/>
      <c r="K18" s="18"/>
      <c r="L18"/>
      <c r="M18"/>
    </row>
    <row r="19" spans="1:13" ht="40.35" customHeight="1" x14ac:dyDescent="0.25">
      <c r="A19" s="21">
        <v>11</v>
      </c>
      <c r="B19" s="28"/>
      <c r="C19" s="27"/>
      <c r="D19" s="5"/>
      <c r="E19" s="5"/>
      <c r="F19" s="29"/>
      <c r="G19" s="26"/>
      <c r="H19" s="25">
        <f t="shared" si="0"/>
      </c>
      <c r="I19" s="4"/>
      <c r="J19"/>
      <c r="K19" s="18"/>
      <c r="L19"/>
      <c r="M19"/>
    </row>
    <row r="20" spans="1:13" ht="40.35" customHeight="1" x14ac:dyDescent="0.25">
      <c r="A20" s="21">
        <v>12</v>
      </c>
      <c r="B20" s="28"/>
      <c r="C20" s="27"/>
      <c r="D20" s="5"/>
      <c r="E20" s="5"/>
      <c r="F20" s="29"/>
      <c r="G20" s="26"/>
      <c r="H20" s="25">
        <f t="shared" si="0"/>
      </c>
      <c r="I20" s="4"/>
      <c r="J20"/>
      <c r="K20" s="18"/>
      <c r="L20"/>
      <c r="M20"/>
    </row>
    <row r="21" spans="1:13" ht="40.35" customHeight="1" x14ac:dyDescent="0.25">
      <c r="A21" s="21">
        <v>13</v>
      </c>
      <c r="B21" s="28"/>
      <c r="C21" s="27"/>
      <c r="D21" s="5"/>
      <c r="E21" s="5"/>
      <c r="F21" s="30"/>
      <c r="G21" s="26"/>
      <c r="H21" s="25">
        <f t="shared" si="0"/>
      </c>
      <c r="I21" s="4"/>
      <c r="J21"/>
      <c r="K21" s="18"/>
      <c r="L21"/>
      <c r="M21"/>
    </row>
    <row r="22" spans="1:13" ht="40.35" customHeight="1" x14ac:dyDescent="0.25">
      <c r="A22" s="21">
        <v>14</v>
      </c>
      <c r="B22" s="28"/>
      <c r="C22" s="27"/>
      <c r="D22" s="5"/>
      <c r="E22" s="5"/>
      <c r="F22" s="29"/>
      <c r="G22" s="26"/>
      <c r="H22" s="25">
        <f t="shared" si="0"/>
      </c>
      <c r="I22" s="4"/>
      <c r="J22"/>
      <c r="K22" s="18"/>
      <c r="L22"/>
      <c r="M22"/>
    </row>
    <row r="23" spans="1:13" ht="40.35" customHeight="1" x14ac:dyDescent="0.25">
      <c r="A23" s="21">
        <v>15</v>
      </c>
      <c r="B23" s="28"/>
      <c r="C23" s="27"/>
      <c r="D23" s="5"/>
      <c r="E23" s="5"/>
      <c r="F23" s="29"/>
      <c r="G23" s="26"/>
      <c r="H23" s="25">
        <f t="shared" si="0"/>
      </c>
      <c r="I23" s="4"/>
      <c r="J23"/>
      <c r="K23" s="18"/>
      <c r="L23"/>
      <c r="M23"/>
    </row>
    <row r="24" spans="1:13" ht="40.35" customHeight="1" x14ac:dyDescent="0.25">
      <c r="A24" s="21">
        <v>16</v>
      </c>
      <c r="B24" s="28"/>
      <c r="C24" s="27"/>
      <c r="D24" s="5"/>
      <c r="E24" s="5"/>
      <c r="F24" s="29"/>
      <c r="G24" s="26"/>
      <c r="H24" s="25">
        <f t="shared" si="0"/>
      </c>
      <c r="I24" s="4"/>
      <c r="J24"/>
      <c r="K24" s="18"/>
      <c r="L24"/>
      <c r="M24"/>
    </row>
    <row r="25" spans="1:13" ht="40.35" customHeight="1" x14ac:dyDescent="0.25">
      <c r="A25" s="21">
        <v>17</v>
      </c>
      <c r="B25" s="28"/>
      <c r="C25" s="27"/>
      <c r="D25" s="5"/>
      <c r="E25" s="5"/>
      <c r="F25" s="30"/>
      <c r="G25" s="26"/>
      <c r="H25" s="25">
        <f t="shared" si="0"/>
      </c>
      <c r="I25" s="4"/>
      <c r="J25"/>
      <c r="K25" s="18"/>
      <c r="L25"/>
      <c r="M25"/>
    </row>
    <row r="26" spans="1:13" ht="40.35" customHeight="1" x14ac:dyDescent="0.25">
      <c r="A26" s="21">
        <v>18</v>
      </c>
      <c r="B26" s="28"/>
      <c r="C26" s="27"/>
      <c r="D26" s="5"/>
      <c r="E26" s="5"/>
      <c r="F26" s="29"/>
      <c r="G26" s="26"/>
      <c r="H26" s="25">
        <f t="shared" si="0"/>
      </c>
      <c r="I26" s="4"/>
      <c r="J26"/>
      <c r="K26" s="18"/>
      <c r="L26"/>
      <c r="M26"/>
    </row>
    <row r="27" spans="1:13" ht="40.35" customHeight="1" x14ac:dyDescent="0.25">
      <c r="A27" s="21">
        <v>19</v>
      </c>
      <c r="B27" s="28"/>
      <c r="C27" s="27"/>
      <c r="D27" s="5"/>
      <c r="E27" s="5"/>
      <c r="F27" s="30"/>
      <c r="G27" s="26"/>
      <c r="H27" s="25"/>
      <c r="I27" s="4"/>
      <c r="J27"/>
      <c r="K27" s="18"/>
      <c r="L27"/>
      <c r="M27"/>
    </row>
    <row r="28" spans="1:13" ht="40.35" customHeight="1" x14ac:dyDescent="0.25">
      <c r="A28" s="21">
        <v>20</v>
      </c>
      <c r="B28" s="28"/>
      <c r="C28" s="27"/>
      <c r="D28" s="5"/>
      <c r="E28" s="5"/>
      <c r="F28" s="29"/>
      <c r="G28" s="26"/>
      <c r="H28" s="25"/>
      <c r="I28" s="4"/>
      <c r="J28"/>
      <c r="K28" s="18"/>
      <c r="L28"/>
      <c r="M28"/>
    </row>
    <row r="29" spans="1:13" ht="40.35" customHeight="1" x14ac:dyDescent="0.25">
      <c r="A29" s="21">
        <v>21</v>
      </c>
      <c r="B29" s="28"/>
      <c r="C29" s="27"/>
      <c r="D29" s="5"/>
      <c r="E29" s="5"/>
      <c r="F29" s="30"/>
      <c r="G29" s="26"/>
      <c r="H29" s="25"/>
      <c r="I29" s="4"/>
      <c r="J29"/>
      <c r="K29" s="18"/>
      <c r="L29"/>
      <c r="M29"/>
    </row>
    <row r="30" spans="1:13" ht="40.35" customHeight="1" x14ac:dyDescent="0.25">
      <c r="A30" s="21">
        <v>22</v>
      </c>
      <c r="B30" s="28"/>
      <c r="C30" s="27"/>
      <c r="D30" s="5"/>
      <c r="E30" s="5"/>
      <c r="F30" s="30"/>
      <c r="G30" s="26"/>
      <c r="H30" s="25"/>
      <c r="I30" s="4"/>
      <c r="J30"/>
      <c r="K30" s="18"/>
      <c r="L30"/>
      <c r="M30"/>
    </row>
    <row r="31" spans="1:13" ht="40.35" customHeight="1" x14ac:dyDescent="0.25">
      <c r="A31" s="21">
        <v>23</v>
      </c>
      <c r="B31" s="28"/>
      <c r="C31" s="27"/>
      <c r="D31" s="5"/>
      <c r="E31" s="5"/>
      <c r="F31" s="29"/>
      <c r="G31" s="26"/>
      <c r="H31" s="25"/>
      <c r="I31" s="4"/>
      <c r="J31"/>
      <c r="K31" s="18"/>
      <c r="L31"/>
      <c r="M31"/>
    </row>
    <row r="32" spans="1:13" x14ac:dyDescent="0.25">
      <c r="A32"/>
      <c r="B32"/>
      <c r="C32"/>
      <c r="D32"/>
      <c r="E32"/>
      <c r="F32"/>
      <c r="G32"/>
      <c r="H32"/>
      <c r="I32"/>
      <c r="J32"/>
      <c r="K32" s="18"/>
      <c r="L32"/>
      <c r="M32"/>
    </row>
    <row r="33" spans="1:13" x14ac:dyDescent="0.25">
      <c r="A33" s="22" t="s">
        <v>16</v>
      </c>
      <c r="B33" s="23"/>
      <c r="C33" s="23"/>
      <c r="D33" s="23"/>
      <c r="E33" s="23"/>
      <c r="F33" s="23"/>
      <c r="G33" s="23"/>
      <c r="H33" s="22" t="s">
        <v>17</v>
      </c>
      <c r="I33" s="24" t="s">
        <v>18</v>
      </c>
      <c r="J33"/>
      <c r="K33" s="18"/>
      <c r="L33"/>
      <c r="M33"/>
    </row>
    <row r="34" spans="1:13" x14ac:dyDescent="0.25">
      <c r="A34" s="24" t="s">
        <v>19</v>
      </c>
      <c r="B34" s="23"/>
      <c r="C34" s="23"/>
      <c r="D34" s="23"/>
      <c r="E34" s="23"/>
      <c r="F34" s="23"/>
      <c r="G34" s="23"/>
      <c r="H34" s="22" t="s">
        <v>20</v>
      </c>
      <c r="I34" s="24" t="s">
        <v>21</v>
      </c>
      <c r="J34"/>
      <c r="K34" s="18"/>
      <c r="L34"/>
      <c r="M34"/>
    </row>
    <row r="35" spans="1:13" x14ac:dyDescent="0.25">
      <c r="A35" s="24" t="s">
        <v>22</v>
      </c>
      <c r="B35" s="23"/>
      <c r="C35" s="23"/>
      <c r="D35" s="23"/>
      <c r="E35" s="23"/>
      <c r="F35" s="23"/>
      <c r="G35" s="23"/>
      <c r="H35" s="22" t="s">
        <v>23</v>
      </c>
      <c r="I35" s="24" t="s">
        <v>24</v>
      </c>
      <c r="J35"/>
      <c r="K35" s="18"/>
      <c r="L35"/>
      <c r="M35"/>
    </row>
    <row r="36" spans="1:13" x14ac:dyDescent="0.25">
      <c r="A36" s="24" t="s">
        <v>25</v>
      </c>
      <c r="B36" s="23"/>
      <c r="C36" s="23"/>
      <c r="D36" s="23"/>
      <c r="E36" s="23"/>
      <c r="F36"/>
      <c r="G36" s="23"/>
      <c r="H36" s="22" t="s">
        <v>26</v>
      </c>
      <c r="I36" s="24" t="s">
        <v>27</v>
      </c>
      <c r="J36"/>
      <c r="K36" s="18"/>
      <c r="L36"/>
      <c r="M36"/>
    </row>
    <row r="37" spans="1:13" x14ac:dyDescent="0.25">
      <c r="A37" s="24" t="s">
        <v>28</v>
      </c>
      <c r="B37" s="23"/>
      <c r="C37" s="23"/>
      <c r="D37" s="23"/>
      <c r="E37" s="23"/>
      <c r="F37" s="23"/>
      <c r="G37" s="23"/>
      <c r="H37" s="22" t="s">
        <v>1</v>
      </c>
      <c r="I37" s="24" t="s">
        <v>29</v>
      </c>
      <c r="J37"/>
      <c r="K37" s="18"/>
      <c r="L37"/>
      <c r="M37"/>
    </row>
    <row r="38" spans="1:13" x14ac:dyDescent="0.25">
      <c r="A38" s="24" t="s">
        <v>30</v>
      </c>
      <c r="B38" s="23"/>
      <c r="C38" s="23"/>
      <c r="D38" s="23"/>
      <c r="E38" s="23"/>
      <c r="F38" s="23"/>
      <c r="G38" s="23"/>
      <c r="H38" s="22" t="s">
        <v>31</v>
      </c>
      <c r="I38" s="24" t="s">
        <v>32</v>
      </c>
      <c r="J38"/>
      <c r="K38" s="18"/>
      <c r="L38"/>
      <c r="M38"/>
    </row>
    <row r="39" spans="1:13" x14ac:dyDescent="0.25">
      <c r="A39" s="24" t="s">
        <v>33</v>
      </c>
      <c r="B39" s="23"/>
      <c r="C39" s="23"/>
      <c r="D39" s="23"/>
      <c r="E39" s="23"/>
      <c r="F39" s="23"/>
      <c r="G39" s="23"/>
      <c r="H39" s="22" t="s">
        <v>34</v>
      </c>
      <c r="I39" s="24" t="s">
        <v>35</v>
      </c>
      <c r="J39"/>
      <c r="K39" s="18"/>
      <c r="L39"/>
      <c r="M39"/>
    </row>
    <row r="40" spans="1:13" x14ac:dyDescent="0.25">
      <c r="A40" s="24" t="s">
        <v>36</v>
      </c>
      <c r="B40" s="23"/>
      <c r="C40" s="23"/>
      <c r="D40" s="23"/>
      <c r="E40" s="23"/>
      <c r="F40" s="23"/>
      <c r="G40" s="23"/>
      <c r="H40" s="22" t="s">
        <v>37</v>
      </c>
      <c r="I40" s="24" t="s">
        <v>38</v>
      </c>
      <c r="J40"/>
      <c r="K40" s="18"/>
      <c r="L40"/>
      <c r="M40"/>
    </row>
    <row r="41" spans="1:13" x14ac:dyDescent="0.25">
      <c r="A41"/>
      <c r="B41"/>
      <c r="C41"/>
      <c r="D41"/>
      <c r="E41"/>
      <c r="F41"/>
      <c r="G41"/>
      <c r="H41" s="22" t="s">
        <v>39</v>
      </c>
      <c r="I41" s="24" t="s">
        <v>40</v>
      </c>
      <c r="J41"/>
      <c r="K41" s="18"/>
      <c r="L41"/>
      <c r="M41"/>
    </row>
    <row r="42" spans="1:13" x14ac:dyDescent="0.25">
      <c r="A42"/>
      <c r="B42"/>
      <c r="C42"/>
      <c r="D42"/>
      <c r="E42"/>
      <c r="F42"/>
      <c r="G42"/>
      <c r="H42"/>
      <c r="I42"/>
      <c r="J42"/>
      <c r="K42" s="18"/>
      <c r="L42"/>
      <c r="M42"/>
    </row>
    <row r="43" spans="1:13" x14ac:dyDescent="0.25">
      <c r="A43"/>
      <c r="B43"/>
      <c r="C43"/>
      <c r="D43"/>
      <c r="E43"/>
      <c r="F43"/>
      <c r="G43"/>
      <c r="H43"/>
      <c r="I43"/>
      <c r="J43"/>
      <c r="K43" s="18"/>
      <c r="L43"/>
      <c r="M43"/>
    </row>
    <row r="44" spans="1:13" x14ac:dyDescent="0.25">
      <c r="A44"/>
      <c r="B44"/>
      <c r="C44"/>
      <c r="D44"/>
      <c r="E44"/>
      <c r="F44"/>
      <c r="G44"/>
      <c r="H44"/>
      <c r="I44"/>
      <c r="J44"/>
      <c r="K44" s="18"/>
      <c r="L44"/>
      <c r="M44"/>
    </row>
    <row r="45" spans="1:13" x14ac:dyDescent="0.25">
      <c r="A45"/>
      <c r="B45"/>
      <c r="C45"/>
      <c r="D45"/>
      <c r="E45"/>
      <c r="F45"/>
      <c r="G45"/>
      <c r="H45"/>
      <c r="I45"/>
      <c r="J45"/>
      <c r="K45" s="18"/>
      <c r="L45"/>
      <c r="M45"/>
    </row>
    <row r="46" spans="1:13" x14ac:dyDescent="0.25">
      <c r="K46" s="12"/>
    </row>
    <row r="47" spans="1:13" x14ac:dyDescent="0.25">
      <c r="K47" s="12"/>
    </row>
    <row r="48" spans="1:13" x14ac:dyDescent="0.25">
      <c r="K48" s="12"/>
    </row>
  </sheetData>
  <sheetProtection algorithmName="SHA-512" hashValue="Q+nXtXighambbdKqKe7M8l3SeHi9L1s4bCTBIkKfv6+xxoXT6sjovPNSWEZHJAd9J6ubUoLGPR8Aee5xmsmtNw==" saltValue="Az5Vo9Mux5NAuOJVnVKlNw==" spinCount="100000" sheet="1"/>
  <mergeCells count="4">
    <mergeCell ref="F7:H7"/>
    <mergeCell ref="B4:C4"/>
    <mergeCell ref="B2:D2"/>
    <mergeCell ref="F1:H1"/>
  </mergeCells>
  <phoneticPr fontId="12" type="noConversion"/>
  <dataValidations count="2">
    <dataValidation type="list" allowBlank="1" showInputMessage="1" showErrorMessage="1" sqref="E9:E31" xr:uid="{754134F3-EFD4-4CE7-B617-89CB428FEC14}">
      <formula1>VALIDACION_PARTIDAS</formula1>
    </dataValidation>
    <dataValidation type="list" allowBlank="1" showInputMessage="1" showErrorMessage="1" sqref="B9:B11 B13:B31" xr:uid="{B2F1F6C1-75F6-4F6B-9BFA-CC889E12E4EB}">
      <formula1>"OBRA,RECLASIFICACION,CONCURSO,COMPRAS,ACTUALIZACION,ORDEN DE TRABAJO,NC OBRA,PRESUPUESTOS,GARANTIA"</formula1>
    </dataValidation>
  </dataValidations>
  <pageMargins left="0.7" right="0.7" top="0.75" bottom="0.75" header="0.3" footer="0.3"/>
  <pageSetup scale="55" orientation="landscape" r:id="rId1"/>
  <colBreaks count="1" manualBreakCount="1">
    <brk id="9" max="2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68AAC-DEFF-4167-83CD-FA44735CF749}">
  <dimension ref="B10:L25"/>
  <sheetViews>
    <sheetView workbookViewId="0">
      <selection activeCell="G23" activeCellId="1" sqref="I20 G23"/>
    </sheetView>
  </sheetViews>
  <sheetFormatPr baseColWidth="10" defaultRowHeight="15" x14ac:dyDescent="0.25"/>
  <cols>
    <col min="5" max="5" width="20.5703125" customWidth="1"/>
    <col min="6" max="6" width="84.85546875" customWidth="1"/>
    <col min="7" max="7" width="13.5703125" style="38" bestFit="1" customWidth="1"/>
    <col min="9" max="9" width="14.5703125" style="38" bestFit="1" customWidth="1"/>
  </cols>
  <sheetData>
    <row r="10" spans="2:12" x14ac:dyDescent="0.25">
      <c r="B10" t="s">
        <v>10</v>
      </c>
      <c r="C10" t="s">
        <v>2334</v>
      </c>
      <c r="D10" t="s">
        <v>2335</v>
      </c>
      <c r="E10" t="s">
        <v>2336</v>
      </c>
      <c r="F10" t="s">
        <v>453</v>
      </c>
      <c r="G10" s="38" t="s">
        <v>2337</v>
      </c>
      <c r="H10" t="s">
        <v>2338</v>
      </c>
      <c r="I10" s="38" t="s">
        <v>2339</v>
      </c>
      <c r="J10" t="s">
        <v>11</v>
      </c>
      <c r="K10" t="s">
        <v>2340</v>
      </c>
      <c r="L10" t="s">
        <v>13</v>
      </c>
    </row>
    <row r="11" spans="2:12" x14ac:dyDescent="0.25">
      <c r="B11" t="s">
        <v>2341</v>
      </c>
      <c r="C11" t="s">
        <v>700</v>
      </c>
      <c r="D11">
        <v>10</v>
      </c>
      <c r="E11" t="s">
        <v>2342</v>
      </c>
      <c r="F11" t="s">
        <v>2343</v>
      </c>
      <c r="G11" s="38">
        <v>0</v>
      </c>
      <c r="H11" t="s">
        <v>2344</v>
      </c>
      <c r="I11" s="38">
        <v>33824.83</v>
      </c>
      <c r="J11">
        <v>0</v>
      </c>
      <c r="K11">
        <v>1</v>
      </c>
      <c r="L11">
        <v>0</v>
      </c>
    </row>
    <row r="12" spans="2:12" x14ac:dyDescent="0.25">
      <c r="B12" t="s">
        <v>2345</v>
      </c>
      <c r="C12" t="s">
        <v>760</v>
      </c>
      <c r="D12">
        <v>20</v>
      </c>
      <c r="E12" t="s">
        <v>2346</v>
      </c>
      <c r="F12" t="s">
        <v>2347</v>
      </c>
      <c r="G12" s="38">
        <v>0</v>
      </c>
      <c r="H12" t="s">
        <v>2344</v>
      </c>
      <c r="I12" s="38">
        <v>537945.72</v>
      </c>
      <c r="J12">
        <v>0</v>
      </c>
      <c r="K12">
        <v>1</v>
      </c>
      <c r="L12">
        <v>0</v>
      </c>
    </row>
    <row r="13" spans="2:12" x14ac:dyDescent="0.25">
      <c r="B13" t="s">
        <v>2348</v>
      </c>
      <c r="C13" t="s">
        <v>801</v>
      </c>
      <c r="D13">
        <v>10</v>
      </c>
      <c r="E13" t="s">
        <v>2349</v>
      </c>
      <c r="F13" t="s">
        <v>2350</v>
      </c>
      <c r="G13" s="38">
        <v>0</v>
      </c>
      <c r="H13" t="s">
        <v>2344</v>
      </c>
      <c r="I13" s="38">
        <v>433562.06</v>
      </c>
      <c r="J13">
        <v>0</v>
      </c>
      <c r="K13">
        <v>1</v>
      </c>
      <c r="L13">
        <v>0</v>
      </c>
    </row>
    <row r="14" spans="2:12" x14ac:dyDescent="0.25">
      <c r="B14" t="s">
        <v>2351</v>
      </c>
      <c r="C14" t="s">
        <v>867</v>
      </c>
      <c r="D14">
        <v>20</v>
      </c>
      <c r="E14" t="s">
        <v>2352</v>
      </c>
      <c r="F14" t="s">
        <v>2353</v>
      </c>
      <c r="G14" s="38">
        <v>5922063.3099999996</v>
      </c>
      <c r="H14" t="s">
        <v>2344</v>
      </c>
      <c r="I14" s="38">
        <v>1842902.24</v>
      </c>
      <c r="J14">
        <v>0</v>
      </c>
      <c r="K14">
        <v>1</v>
      </c>
      <c r="L14">
        <v>0</v>
      </c>
    </row>
    <row r="15" spans="2:12" x14ac:dyDescent="0.25">
      <c r="B15" t="s">
        <v>2354</v>
      </c>
      <c r="C15" t="s">
        <v>1309</v>
      </c>
      <c r="D15">
        <v>10</v>
      </c>
      <c r="E15" t="s">
        <v>2355</v>
      </c>
      <c r="F15" t="s">
        <v>2356</v>
      </c>
      <c r="G15" s="38">
        <v>0</v>
      </c>
      <c r="H15" t="s">
        <v>2344</v>
      </c>
      <c r="I15" s="38">
        <v>17168.759999999998</v>
      </c>
      <c r="J15">
        <v>0</v>
      </c>
      <c r="K15">
        <v>1</v>
      </c>
      <c r="L15">
        <v>0</v>
      </c>
    </row>
    <row r="16" spans="2:12" x14ac:dyDescent="0.25">
      <c r="B16" t="s">
        <v>2357</v>
      </c>
      <c r="C16" t="s">
        <v>1372</v>
      </c>
      <c r="D16">
        <v>10</v>
      </c>
      <c r="E16" t="s">
        <v>2358</v>
      </c>
      <c r="F16" t="s">
        <v>2359</v>
      </c>
      <c r="G16" s="38">
        <v>0</v>
      </c>
      <c r="H16" t="s">
        <v>2344</v>
      </c>
      <c r="I16" s="38">
        <v>582365.19999999995</v>
      </c>
      <c r="J16">
        <v>0</v>
      </c>
      <c r="K16">
        <v>1</v>
      </c>
      <c r="L16">
        <v>0</v>
      </c>
    </row>
    <row r="17" spans="2:12" x14ac:dyDescent="0.25">
      <c r="B17" t="s">
        <v>2360</v>
      </c>
      <c r="C17" t="s">
        <v>2361</v>
      </c>
      <c r="D17">
        <v>10</v>
      </c>
      <c r="E17" t="s">
        <v>2362</v>
      </c>
      <c r="F17" t="s">
        <v>2363</v>
      </c>
      <c r="G17" s="38">
        <v>0</v>
      </c>
      <c r="H17" t="s">
        <v>2344</v>
      </c>
      <c r="I17" s="38">
        <v>17168.759999999998</v>
      </c>
      <c r="J17">
        <v>0</v>
      </c>
      <c r="K17">
        <v>1</v>
      </c>
      <c r="L17">
        <v>0</v>
      </c>
    </row>
    <row r="18" spans="2:12" x14ac:dyDescent="0.25">
      <c r="B18" t="s">
        <v>2364</v>
      </c>
      <c r="C18" t="s">
        <v>1636</v>
      </c>
      <c r="D18">
        <v>10</v>
      </c>
      <c r="E18" t="s">
        <v>2365</v>
      </c>
      <c r="F18" t="s">
        <v>2366</v>
      </c>
      <c r="G18" s="38">
        <v>0</v>
      </c>
      <c r="H18" t="s">
        <v>2344</v>
      </c>
      <c r="I18" s="38">
        <v>644095.03</v>
      </c>
      <c r="J18">
        <v>0</v>
      </c>
      <c r="K18">
        <v>1</v>
      </c>
      <c r="L18">
        <v>0</v>
      </c>
    </row>
    <row r="19" spans="2:12" x14ac:dyDescent="0.25">
      <c r="B19" t="s">
        <v>1907</v>
      </c>
      <c r="C19" t="s">
        <v>1908</v>
      </c>
      <c r="D19">
        <v>10</v>
      </c>
      <c r="E19" t="s">
        <v>2367</v>
      </c>
      <c r="F19" t="s">
        <v>2368</v>
      </c>
      <c r="G19" s="38">
        <v>0</v>
      </c>
      <c r="H19" t="s">
        <v>2344</v>
      </c>
      <c r="I19" s="38">
        <v>14248.04</v>
      </c>
      <c r="J19">
        <v>0</v>
      </c>
      <c r="K19">
        <v>1</v>
      </c>
      <c r="L19">
        <v>0</v>
      </c>
    </row>
    <row r="20" spans="2:12" x14ac:dyDescent="0.25">
      <c r="B20" t="s">
        <v>1949</v>
      </c>
      <c r="C20" t="s">
        <v>1950</v>
      </c>
      <c r="D20">
        <v>10</v>
      </c>
      <c r="E20" t="s">
        <v>2369</v>
      </c>
      <c r="F20" s="37" t="s">
        <v>2370</v>
      </c>
      <c r="G20" s="39">
        <v>0</v>
      </c>
      <c r="H20" s="37" t="s">
        <v>2344</v>
      </c>
      <c r="I20" s="39">
        <v>180527.82</v>
      </c>
      <c r="J20" s="37">
        <v>0</v>
      </c>
      <c r="K20" s="37">
        <v>1</v>
      </c>
      <c r="L20" s="37">
        <v>0</v>
      </c>
    </row>
    <row r="21" spans="2:12" x14ac:dyDescent="0.25">
      <c r="B21" t="s">
        <v>2085</v>
      </c>
      <c r="C21" t="s">
        <v>2086</v>
      </c>
      <c r="D21">
        <v>10</v>
      </c>
      <c r="E21" t="s">
        <v>2371</v>
      </c>
      <c r="F21" t="s">
        <v>2372</v>
      </c>
      <c r="G21" s="38">
        <v>0</v>
      </c>
      <c r="H21" t="s">
        <v>2344</v>
      </c>
      <c r="I21" s="38">
        <v>10223.450000000001</v>
      </c>
      <c r="J21">
        <v>0</v>
      </c>
      <c r="K21">
        <v>1</v>
      </c>
      <c r="L21">
        <v>0</v>
      </c>
    </row>
    <row r="23" spans="2:12" x14ac:dyDescent="0.25">
      <c r="G23" s="38">
        <f>SUM(G11:G22)</f>
        <v>5922063.3099999996</v>
      </c>
      <c r="I23" s="38">
        <f>SUM(I11:I22)</f>
        <v>4314031.91</v>
      </c>
    </row>
    <row r="25" spans="2:12" x14ac:dyDescent="0.25">
      <c r="I25" s="38">
        <f>+G23+I23</f>
        <v>10236095.219999999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6A509-7E44-490B-8EB5-7D4632B41014}">
  <dimension ref="B10:L19"/>
  <sheetViews>
    <sheetView workbookViewId="0">
      <selection activeCell="B13" sqref="B13"/>
    </sheetView>
  </sheetViews>
  <sheetFormatPr baseColWidth="10" defaultRowHeight="15" x14ac:dyDescent="0.25"/>
  <cols>
    <col min="5" max="5" width="25" customWidth="1"/>
    <col min="6" max="6" width="75.5703125" bestFit="1" customWidth="1"/>
    <col min="7" max="7" width="13.5703125" style="38" bestFit="1" customWidth="1"/>
    <col min="9" max="9" width="13.5703125" style="38" bestFit="1" customWidth="1"/>
  </cols>
  <sheetData>
    <row r="10" spans="2:12" x14ac:dyDescent="0.25">
      <c r="B10" s="40" t="s">
        <v>10</v>
      </c>
      <c r="C10" s="40" t="s">
        <v>2334</v>
      </c>
      <c r="D10" s="40" t="s">
        <v>2335</v>
      </c>
      <c r="E10" s="40" t="s">
        <v>2336</v>
      </c>
      <c r="F10" s="40" t="s">
        <v>453</v>
      </c>
      <c r="G10" s="43" t="s">
        <v>2337</v>
      </c>
      <c r="H10" s="40" t="s">
        <v>2338</v>
      </c>
      <c r="I10" s="43" t="s">
        <v>2339</v>
      </c>
      <c r="J10" s="40" t="s">
        <v>11</v>
      </c>
      <c r="K10" s="40" t="s">
        <v>2340</v>
      </c>
      <c r="L10" s="40" t="s">
        <v>13</v>
      </c>
    </row>
    <row r="11" spans="2:12" x14ac:dyDescent="0.25">
      <c r="B11" s="41" t="s">
        <v>2380</v>
      </c>
      <c r="C11" s="41" t="s">
        <v>518</v>
      </c>
      <c r="D11" s="42">
        <v>10</v>
      </c>
      <c r="E11" s="41" t="s">
        <v>2377</v>
      </c>
      <c r="F11" s="41" t="s">
        <v>2392</v>
      </c>
      <c r="G11" s="43">
        <v>0</v>
      </c>
      <c r="H11" s="41" t="s">
        <v>2344</v>
      </c>
      <c r="I11" s="43">
        <v>151793.21</v>
      </c>
      <c r="J11" s="40">
        <v>0</v>
      </c>
      <c r="K11" s="40">
        <v>1</v>
      </c>
      <c r="L11" s="40">
        <v>0</v>
      </c>
    </row>
    <row r="12" spans="2:12" x14ac:dyDescent="0.25">
      <c r="B12" s="41" t="s">
        <v>2383</v>
      </c>
      <c r="C12" s="41" t="s">
        <v>2373</v>
      </c>
      <c r="D12" s="42">
        <v>10</v>
      </c>
      <c r="E12" s="41" t="s">
        <v>2386</v>
      </c>
      <c r="F12" s="41" t="s">
        <v>2384</v>
      </c>
      <c r="G12" s="43">
        <v>1844500</v>
      </c>
      <c r="H12" s="41" t="s">
        <v>2344</v>
      </c>
      <c r="I12" s="43">
        <v>2721699.49</v>
      </c>
      <c r="J12" s="40">
        <v>0</v>
      </c>
      <c r="K12" s="40">
        <v>1</v>
      </c>
      <c r="L12" s="40">
        <v>0</v>
      </c>
    </row>
    <row r="13" spans="2:12" x14ac:dyDescent="0.25">
      <c r="B13" s="41" t="s">
        <v>2393</v>
      </c>
      <c r="C13" s="41" t="s">
        <v>2397</v>
      </c>
      <c r="D13" s="42">
        <v>20</v>
      </c>
      <c r="E13" s="41" t="s">
        <v>2395</v>
      </c>
      <c r="F13" s="44" t="s">
        <v>2378</v>
      </c>
      <c r="G13" s="45">
        <v>0</v>
      </c>
      <c r="H13" s="44" t="s">
        <v>2344</v>
      </c>
      <c r="I13" s="45">
        <v>809123.41</v>
      </c>
      <c r="J13" s="40">
        <v>0</v>
      </c>
      <c r="K13" s="40">
        <v>1</v>
      </c>
      <c r="L13" s="40">
        <v>0</v>
      </c>
    </row>
    <row r="14" spans="2:12" x14ac:dyDescent="0.25">
      <c r="B14" s="41" t="s">
        <v>2401</v>
      </c>
      <c r="C14" s="41" t="s">
        <v>1269</v>
      </c>
      <c r="D14" s="42">
        <v>10</v>
      </c>
      <c r="E14" s="41" t="s">
        <v>2398</v>
      </c>
      <c r="F14" s="41" t="s">
        <v>2379</v>
      </c>
      <c r="G14" s="43">
        <v>0</v>
      </c>
      <c r="H14" s="41" t="s">
        <v>2344</v>
      </c>
      <c r="I14" s="43">
        <v>621059.57999999996</v>
      </c>
      <c r="J14" s="40">
        <v>0</v>
      </c>
      <c r="K14" s="40">
        <v>1</v>
      </c>
      <c r="L14" s="40">
        <v>0</v>
      </c>
    </row>
    <row r="15" spans="2:12" x14ac:dyDescent="0.25">
      <c r="B15" s="41" t="s">
        <v>2381</v>
      </c>
      <c r="C15" s="41" t="s">
        <v>1452</v>
      </c>
      <c r="D15" s="42">
        <v>10</v>
      </c>
      <c r="E15" s="41" t="s">
        <v>2390</v>
      </c>
      <c r="F15" s="41" t="s">
        <v>2376</v>
      </c>
      <c r="G15" s="43">
        <v>0</v>
      </c>
      <c r="H15" s="41" t="s">
        <v>2344</v>
      </c>
      <c r="I15" s="43">
        <v>1757.7</v>
      </c>
      <c r="J15" s="40">
        <v>0</v>
      </c>
      <c r="K15" s="40">
        <v>1</v>
      </c>
      <c r="L15" s="40">
        <v>0</v>
      </c>
    </row>
    <row r="16" spans="2:12" x14ac:dyDescent="0.25">
      <c r="B16" s="41" t="s">
        <v>2385</v>
      </c>
      <c r="C16" s="41" t="s">
        <v>2394</v>
      </c>
      <c r="D16" s="42">
        <v>10</v>
      </c>
      <c r="E16" s="41" t="s">
        <v>2399</v>
      </c>
      <c r="F16" s="41" t="s">
        <v>2387</v>
      </c>
      <c r="G16" s="43">
        <v>0</v>
      </c>
      <c r="H16" s="41" t="s">
        <v>2344</v>
      </c>
      <c r="I16" s="43">
        <v>190000.24</v>
      </c>
      <c r="J16" s="40">
        <v>0</v>
      </c>
      <c r="K16" s="40">
        <v>1</v>
      </c>
      <c r="L16" s="40">
        <v>0</v>
      </c>
    </row>
    <row r="17" spans="2:12" x14ac:dyDescent="0.25">
      <c r="B17" s="41" t="s">
        <v>2150</v>
      </c>
      <c r="C17" s="41" t="s">
        <v>2388</v>
      </c>
      <c r="D17" s="42">
        <v>10</v>
      </c>
      <c r="E17" s="41" t="s">
        <v>2391</v>
      </c>
      <c r="F17" s="41" t="s">
        <v>2400</v>
      </c>
      <c r="G17" s="43">
        <v>0</v>
      </c>
      <c r="H17" s="41" t="s">
        <v>2344</v>
      </c>
      <c r="I17" s="43">
        <v>16827.91</v>
      </c>
      <c r="J17" s="40">
        <v>0</v>
      </c>
      <c r="K17" s="40">
        <v>1</v>
      </c>
      <c r="L17" s="40">
        <v>0</v>
      </c>
    </row>
    <row r="18" spans="2:12" x14ac:dyDescent="0.25">
      <c r="B18" s="41" t="s">
        <v>2402</v>
      </c>
      <c r="C18" s="41" t="s">
        <v>2389</v>
      </c>
      <c r="D18" s="42">
        <v>10</v>
      </c>
      <c r="E18" s="41" t="s">
        <v>2374</v>
      </c>
      <c r="F18" s="41" t="s">
        <v>2375</v>
      </c>
      <c r="G18" s="43">
        <v>0</v>
      </c>
      <c r="H18" s="41" t="s">
        <v>2344</v>
      </c>
      <c r="I18" s="43">
        <v>157612.87</v>
      </c>
      <c r="J18" s="40">
        <v>0</v>
      </c>
      <c r="K18" s="40">
        <v>1</v>
      </c>
      <c r="L18" s="40">
        <v>0</v>
      </c>
    </row>
    <row r="19" spans="2:12" x14ac:dyDescent="0.25">
      <c r="B19" s="41" t="s">
        <v>2277</v>
      </c>
      <c r="C19" s="41" t="s">
        <v>2278</v>
      </c>
      <c r="D19" s="42">
        <v>10</v>
      </c>
      <c r="E19" s="41" t="s">
        <v>2396</v>
      </c>
      <c r="F19" s="41" t="s">
        <v>2382</v>
      </c>
      <c r="G19" s="43">
        <v>0</v>
      </c>
      <c r="H19" s="41" t="s">
        <v>2344</v>
      </c>
      <c r="I19" s="43">
        <v>7689.09</v>
      </c>
      <c r="J19" s="40">
        <v>0</v>
      </c>
      <c r="K19" s="40">
        <v>1</v>
      </c>
      <c r="L19" s="4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A3109-88B5-4347-8034-50594A5E5788}">
  <dimension ref="B2:K641"/>
  <sheetViews>
    <sheetView topLeftCell="A64" workbookViewId="0">
      <selection activeCell="B412" sqref="B412"/>
    </sheetView>
  </sheetViews>
  <sheetFormatPr baseColWidth="10" defaultColWidth="11.5703125" defaultRowHeight="15" x14ac:dyDescent="0.25"/>
  <cols>
    <col min="2" max="2" width="82.42578125" bestFit="1" customWidth="1"/>
    <col min="6" max="6" width="77.42578125" bestFit="1" customWidth="1"/>
    <col min="7" max="8" width="12" customWidth="1"/>
    <col min="9" max="9" width="74.140625" bestFit="1" customWidth="1"/>
  </cols>
  <sheetData>
    <row r="2" spans="2:11" x14ac:dyDescent="0.25">
      <c r="B2" t="s">
        <v>41</v>
      </c>
    </row>
    <row r="3" spans="2:11" x14ac:dyDescent="0.25">
      <c r="B3" t="s">
        <v>42</v>
      </c>
      <c r="G3" s="33"/>
      <c r="H3" s="33"/>
      <c r="I3" s="33"/>
      <c r="J3" s="31"/>
      <c r="K3" s="31"/>
    </row>
    <row r="4" spans="2:11" x14ac:dyDescent="0.25">
      <c r="B4" t="s">
        <v>15</v>
      </c>
      <c r="G4" s="33"/>
      <c r="H4" s="33"/>
      <c r="I4" s="33"/>
      <c r="J4" s="31"/>
      <c r="K4" s="31"/>
    </row>
    <row r="5" spans="2:11" x14ac:dyDescent="0.25">
      <c r="B5" t="s">
        <v>43</v>
      </c>
      <c r="G5" s="31"/>
      <c r="H5" s="31"/>
      <c r="I5" s="31"/>
      <c r="J5" s="34"/>
      <c r="K5" s="34"/>
    </row>
    <row r="6" spans="2:11" x14ac:dyDescent="0.25">
      <c r="B6" t="s">
        <v>44</v>
      </c>
      <c r="G6" s="31"/>
      <c r="H6" s="31"/>
      <c r="I6" s="31"/>
      <c r="J6" s="35"/>
      <c r="K6" s="35"/>
    </row>
    <row r="7" spans="2:11" x14ac:dyDescent="0.25">
      <c r="B7" t="s">
        <v>45</v>
      </c>
      <c r="G7" s="31"/>
      <c r="H7" s="31"/>
      <c r="I7" s="31"/>
      <c r="J7" s="35"/>
      <c r="K7" s="35"/>
    </row>
    <row r="8" spans="2:11" x14ac:dyDescent="0.25">
      <c r="B8" t="s">
        <v>46</v>
      </c>
      <c r="G8" s="31"/>
      <c r="H8" s="31"/>
      <c r="I8" s="31"/>
      <c r="J8" s="35"/>
      <c r="K8" s="35"/>
    </row>
    <row r="9" spans="2:11" x14ac:dyDescent="0.25">
      <c r="B9" t="s">
        <v>47</v>
      </c>
      <c r="G9" s="31"/>
      <c r="H9" s="31"/>
      <c r="I9" s="31"/>
      <c r="J9" s="35"/>
      <c r="K9" s="35"/>
    </row>
    <row r="10" spans="2:11" x14ac:dyDescent="0.25">
      <c r="B10" t="s">
        <v>48</v>
      </c>
      <c r="G10" s="31"/>
      <c r="H10" s="31"/>
      <c r="I10" s="31"/>
      <c r="J10" s="35"/>
      <c r="K10" s="35"/>
    </row>
    <row r="11" spans="2:11" x14ac:dyDescent="0.25">
      <c r="B11" t="s">
        <v>49</v>
      </c>
      <c r="G11" s="31"/>
      <c r="H11" s="31"/>
      <c r="I11" s="31"/>
      <c r="J11" s="35"/>
      <c r="K11" s="35"/>
    </row>
    <row r="12" spans="2:11" x14ac:dyDescent="0.25">
      <c r="B12" t="s">
        <v>50</v>
      </c>
      <c r="G12" s="31"/>
      <c r="H12" s="31"/>
      <c r="I12" s="31"/>
      <c r="J12" s="35"/>
      <c r="K12" s="35"/>
    </row>
    <row r="13" spans="2:11" x14ac:dyDescent="0.25">
      <c r="B13" t="s">
        <v>51</v>
      </c>
      <c r="G13" s="31"/>
      <c r="H13" s="31"/>
      <c r="I13" s="31"/>
      <c r="J13" s="35"/>
      <c r="K13" s="35"/>
    </row>
    <row r="14" spans="2:11" x14ac:dyDescent="0.25">
      <c r="B14" t="s">
        <v>52</v>
      </c>
      <c r="G14" s="31"/>
      <c r="H14" s="31"/>
      <c r="I14" s="31"/>
      <c r="J14" s="35"/>
      <c r="K14" s="35"/>
    </row>
    <row r="15" spans="2:11" x14ac:dyDescent="0.25">
      <c r="B15" t="s">
        <v>53</v>
      </c>
      <c r="G15" s="31"/>
      <c r="H15" s="31"/>
      <c r="I15" s="31"/>
      <c r="J15" s="35"/>
      <c r="K15" s="35"/>
    </row>
    <row r="16" spans="2:11" x14ac:dyDescent="0.25">
      <c r="B16" t="s">
        <v>54</v>
      </c>
      <c r="G16" s="31"/>
      <c r="H16" s="31"/>
      <c r="I16" s="31"/>
      <c r="J16" s="35"/>
      <c r="K16" s="35"/>
    </row>
    <row r="17" spans="2:11" x14ac:dyDescent="0.25">
      <c r="B17" t="s">
        <v>55</v>
      </c>
      <c r="G17" s="31"/>
      <c r="H17" s="31"/>
      <c r="I17" s="31"/>
      <c r="J17" s="35"/>
      <c r="K17" s="35"/>
    </row>
    <row r="18" spans="2:11" x14ac:dyDescent="0.25">
      <c r="B18" t="s">
        <v>56</v>
      </c>
      <c r="G18" s="31"/>
      <c r="H18" s="31"/>
      <c r="I18" s="31"/>
      <c r="J18" s="35"/>
      <c r="K18" s="35"/>
    </row>
    <row r="19" spans="2:11" x14ac:dyDescent="0.25">
      <c r="B19" t="s">
        <v>57</v>
      </c>
      <c r="G19" s="31"/>
      <c r="H19" s="31"/>
      <c r="I19" s="31"/>
      <c r="J19" s="35"/>
      <c r="K19" s="35"/>
    </row>
    <row r="20" spans="2:11" x14ac:dyDescent="0.25">
      <c r="B20" t="s">
        <v>58</v>
      </c>
      <c r="G20" s="31"/>
      <c r="H20" s="31"/>
      <c r="I20" s="31"/>
      <c r="J20" s="35"/>
      <c r="K20" s="35"/>
    </row>
    <row r="21" spans="2:11" x14ac:dyDescent="0.25">
      <c r="B21" t="s">
        <v>59</v>
      </c>
      <c r="G21" s="31"/>
      <c r="H21" s="31"/>
      <c r="I21" s="31"/>
      <c r="J21" s="35"/>
      <c r="K21" s="35"/>
    </row>
    <row r="22" spans="2:11" x14ac:dyDescent="0.25">
      <c r="B22" t="s">
        <v>60</v>
      </c>
      <c r="G22" s="31"/>
      <c r="H22" s="31"/>
      <c r="I22" s="31"/>
      <c r="J22" s="35"/>
      <c r="K22" s="35"/>
    </row>
    <row r="23" spans="2:11" x14ac:dyDescent="0.25">
      <c r="B23" t="s">
        <v>61</v>
      </c>
      <c r="G23" s="31"/>
      <c r="H23" s="31"/>
      <c r="I23" s="31"/>
      <c r="J23" s="35"/>
      <c r="K23" s="35"/>
    </row>
    <row r="24" spans="2:11" x14ac:dyDescent="0.25">
      <c r="B24" t="s">
        <v>62</v>
      </c>
      <c r="G24" s="31"/>
      <c r="H24" s="31"/>
      <c r="I24" s="31"/>
      <c r="J24" s="35"/>
      <c r="K24" s="35"/>
    </row>
    <row r="25" spans="2:11" x14ac:dyDescent="0.25">
      <c r="B25" t="s">
        <v>63</v>
      </c>
      <c r="G25" s="31"/>
      <c r="H25" s="31"/>
      <c r="I25" s="31"/>
      <c r="J25" s="35"/>
      <c r="K25" s="35"/>
    </row>
    <row r="26" spans="2:11" x14ac:dyDescent="0.25">
      <c r="B26" t="s">
        <v>64</v>
      </c>
      <c r="G26" s="31"/>
      <c r="H26" s="31"/>
      <c r="I26" s="31"/>
      <c r="J26" s="35"/>
      <c r="K26" s="35"/>
    </row>
    <row r="27" spans="2:11" x14ac:dyDescent="0.25">
      <c r="B27" t="s">
        <v>65</v>
      </c>
      <c r="G27" s="31"/>
      <c r="H27" s="31"/>
      <c r="I27" s="31"/>
      <c r="J27" s="35"/>
      <c r="K27" s="35"/>
    </row>
    <row r="28" spans="2:11" x14ac:dyDescent="0.25">
      <c r="B28" t="s">
        <v>66</v>
      </c>
      <c r="G28" s="31"/>
      <c r="H28" s="31"/>
      <c r="I28" s="31"/>
      <c r="J28" s="35"/>
      <c r="K28" s="35"/>
    </row>
    <row r="29" spans="2:11" x14ac:dyDescent="0.25">
      <c r="B29" t="s">
        <v>67</v>
      </c>
      <c r="G29" s="31"/>
      <c r="H29" s="31"/>
      <c r="I29" s="31"/>
      <c r="J29" s="35"/>
      <c r="K29" s="35"/>
    </row>
    <row r="30" spans="2:11" x14ac:dyDescent="0.25">
      <c r="B30" t="s">
        <v>68</v>
      </c>
      <c r="G30" s="31"/>
      <c r="H30" s="31"/>
      <c r="I30" s="31"/>
      <c r="J30" s="35"/>
      <c r="K30" s="35"/>
    </row>
    <row r="31" spans="2:11" x14ac:dyDescent="0.25">
      <c r="B31" t="s">
        <v>69</v>
      </c>
      <c r="G31" s="31"/>
      <c r="H31" s="31"/>
      <c r="I31" s="31"/>
      <c r="J31" s="35"/>
      <c r="K31" s="35"/>
    </row>
    <row r="32" spans="2:11" x14ac:dyDescent="0.25">
      <c r="B32" t="s">
        <v>70</v>
      </c>
      <c r="G32" s="31"/>
      <c r="H32" s="31"/>
      <c r="I32" s="31"/>
      <c r="J32" s="35"/>
      <c r="K32" s="35"/>
    </row>
    <row r="33" spans="2:11" x14ac:dyDescent="0.25">
      <c r="B33" t="s">
        <v>71</v>
      </c>
      <c r="G33" s="31"/>
      <c r="H33" s="31"/>
      <c r="I33" s="31"/>
      <c r="J33" s="35"/>
      <c r="K33" s="35"/>
    </row>
    <row r="34" spans="2:11" x14ac:dyDescent="0.25">
      <c r="B34" t="s">
        <v>72</v>
      </c>
      <c r="G34" s="31"/>
      <c r="H34" s="31"/>
      <c r="I34" s="31"/>
      <c r="J34" s="35"/>
      <c r="K34" s="35"/>
    </row>
    <row r="35" spans="2:11" x14ac:dyDescent="0.25">
      <c r="B35" t="s">
        <v>73</v>
      </c>
      <c r="G35" s="31"/>
      <c r="H35" s="31"/>
      <c r="I35" s="31"/>
      <c r="J35" s="35"/>
      <c r="K35" s="35"/>
    </row>
    <row r="36" spans="2:11" x14ac:dyDescent="0.25">
      <c r="B36" t="s">
        <v>74</v>
      </c>
      <c r="G36" s="31"/>
      <c r="H36" s="31"/>
      <c r="I36" s="31"/>
      <c r="J36" s="35"/>
      <c r="K36" s="35"/>
    </row>
    <row r="37" spans="2:11" x14ac:dyDescent="0.25">
      <c r="B37" t="s">
        <v>75</v>
      </c>
      <c r="G37" s="31"/>
      <c r="H37" s="31"/>
      <c r="I37" s="31"/>
      <c r="J37" s="35"/>
      <c r="K37" s="35"/>
    </row>
    <row r="38" spans="2:11" x14ac:dyDescent="0.25">
      <c r="B38" t="s">
        <v>76</v>
      </c>
      <c r="G38" s="31"/>
      <c r="H38" s="31"/>
      <c r="I38" s="31"/>
      <c r="J38" s="35"/>
      <c r="K38" s="35"/>
    </row>
    <row r="39" spans="2:11" x14ac:dyDescent="0.25">
      <c r="B39" t="s">
        <v>77</v>
      </c>
      <c r="G39" s="31"/>
      <c r="H39" s="31"/>
      <c r="I39" s="31"/>
      <c r="J39" s="35"/>
      <c r="K39" s="35"/>
    </row>
    <row r="40" spans="2:11" x14ac:dyDescent="0.25">
      <c r="B40" t="s">
        <v>78</v>
      </c>
      <c r="G40" s="31"/>
      <c r="H40" s="31"/>
      <c r="I40" s="31"/>
      <c r="J40" s="35"/>
      <c r="K40" s="35"/>
    </row>
    <row r="41" spans="2:11" x14ac:dyDescent="0.25">
      <c r="B41" t="s">
        <v>79</v>
      </c>
      <c r="G41" s="31"/>
      <c r="H41" s="31"/>
      <c r="I41" s="31"/>
      <c r="J41" s="35"/>
      <c r="K41" s="35"/>
    </row>
    <row r="42" spans="2:11" x14ac:dyDescent="0.25">
      <c r="B42" t="s">
        <v>80</v>
      </c>
      <c r="G42" s="31"/>
      <c r="H42" s="31"/>
      <c r="I42" s="31"/>
      <c r="J42" s="35"/>
      <c r="K42" s="35"/>
    </row>
    <row r="43" spans="2:11" x14ac:dyDescent="0.25">
      <c r="B43" t="s">
        <v>81</v>
      </c>
      <c r="G43" s="31"/>
      <c r="H43" s="31"/>
      <c r="I43" s="31"/>
      <c r="J43" s="35"/>
      <c r="K43" s="35"/>
    </row>
    <row r="44" spans="2:11" x14ac:dyDescent="0.25">
      <c r="B44" t="s">
        <v>82</v>
      </c>
      <c r="G44" s="31"/>
      <c r="H44" s="31"/>
      <c r="I44" s="31"/>
      <c r="J44" s="35"/>
      <c r="K44" s="35"/>
    </row>
    <row r="45" spans="2:11" x14ac:dyDescent="0.25">
      <c r="B45" t="s">
        <v>83</v>
      </c>
      <c r="G45" s="31"/>
      <c r="H45" s="31"/>
      <c r="I45" s="31"/>
      <c r="J45" s="35"/>
      <c r="K45" s="35"/>
    </row>
    <row r="46" spans="2:11" x14ac:dyDescent="0.25">
      <c r="B46" t="s">
        <v>84</v>
      </c>
      <c r="G46" s="31"/>
      <c r="H46" s="31"/>
      <c r="I46" s="31"/>
      <c r="J46" s="35"/>
      <c r="K46" s="35"/>
    </row>
    <row r="47" spans="2:11" x14ac:dyDescent="0.25">
      <c r="B47" t="s">
        <v>85</v>
      </c>
      <c r="G47" s="31"/>
      <c r="H47" s="31"/>
      <c r="I47" s="31"/>
      <c r="J47" s="35"/>
      <c r="K47" s="35"/>
    </row>
    <row r="48" spans="2:11" x14ac:dyDescent="0.25">
      <c r="B48" t="s">
        <v>86</v>
      </c>
      <c r="G48" s="31"/>
      <c r="H48" s="31"/>
      <c r="I48" s="31"/>
      <c r="J48" s="35"/>
      <c r="K48" s="35"/>
    </row>
    <row r="49" spans="2:11" x14ac:dyDescent="0.25">
      <c r="B49" t="s">
        <v>87</v>
      </c>
      <c r="G49" s="31"/>
      <c r="H49" s="31"/>
      <c r="I49" s="31"/>
      <c r="J49" s="35"/>
      <c r="K49" s="35"/>
    </row>
    <row r="50" spans="2:11" x14ac:dyDescent="0.25">
      <c r="B50" t="s">
        <v>88</v>
      </c>
      <c r="G50" s="31"/>
      <c r="H50" s="31"/>
      <c r="I50" s="31"/>
      <c r="J50" s="35"/>
      <c r="K50" s="35"/>
    </row>
    <row r="51" spans="2:11" x14ac:dyDescent="0.25">
      <c r="B51" t="s">
        <v>89</v>
      </c>
      <c r="G51" s="31"/>
      <c r="H51" s="31"/>
      <c r="I51" s="31"/>
      <c r="J51" s="35"/>
      <c r="K51" s="35"/>
    </row>
    <row r="52" spans="2:11" x14ac:dyDescent="0.25">
      <c r="B52" t="s">
        <v>90</v>
      </c>
      <c r="G52" s="31"/>
      <c r="H52" s="31"/>
      <c r="I52" s="31"/>
      <c r="J52" s="35"/>
      <c r="K52" s="35"/>
    </row>
    <row r="53" spans="2:11" x14ac:dyDescent="0.25">
      <c r="B53" t="s">
        <v>91</v>
      </c>
      <c r="G53" s="31"/>
      <c r="H53" s="31"/>
      <c r="I53" s="31"/>
      <c r="J53" s="35"/>
      <c r="K53" s="35"/>
    </row>
    <row r="54" spans="2:11" x14ac:dyDescent="0.25">
      <c r="B54" t="s">
        <v>92</v>
      </c>
      <c r="G54" s="31"/>
      <c r="H54" s="31"/>
      <c r="I54" s="31"/>
      <c r="J54" s="35"/>
      <c r="K54" s="35"/>
    </row>
    <row r="55" spans="2:11" x14ac:dyDescent="0.25">
      <c r="B55" t="s">
        <v>93</v>
      </c>
      <c r="G55" s="31"/>
      <c r="H55" s="31"/>
      <c r="I55" s="31"/>
      <c r="J55" s="35"/>
      <c r="K55" s="35"/>
    </row>
    <row r="56" spans="2:11" x14ac:dyDescent="0.25">
      <c r="B56" t="s">
        <v>94</v>
      </c>
      <c r="G56" s="31"/>
      <c r="H56" s="31"/>
      <c r="I56" s="31"/>
      <c r="J56" s="35"/>
      <c r="K56" s="35"/>
    </row>
    <row r="57" spans="2:11" x14ac:dyDescent="0.25">
      <c r="B57" t="s">
        <v>95</v>
      </c>
      <c r="G57" s="31"/>
      <c r="H57" s="31"/>
      <c r="I57" s="31"/>
      <c r="J57" s="35"/>
      <c r="K57" s="35"/>
    </row>
    <row r="58" spans="2:11" x14ac:dyDescent="0.25">
      <c r="B58" t="s">
        <v>96</v>
      </c>
      <c r="G58" s="31"/>
      <c r="H58" s="31"/>
      <c r="I58" s="31"/>
      <c r="J58" s="35"/>
      <c r="K58" s="35"/>
    </row>
    <row r="59" spans="2:11" x14ac:dyDescent="0.25">
      <c r="B59" t="s">
        <v>97</v>
      </c>
      <c r="G59" s="31"/>
      <c r="H59" s="31"/>
      <c r="I59" s="31"/>
      <c r="J59" s="35"/>
      <c r="K59" s="35"/>
    </row>
    <row r="60" spans="2:11" x14ac:dyDescent="0.25">
      <c r="B60" t="s">
        <v>98</v>
      </c>
      <c r="G60" s="31"/>
      <c r="H60" s="31"/>
      <c r="I60" s="31"/>
      <c r="J60" s="35"/>
      <c r="K60" s="35"/>
    </row>
    <row r="61" spans="2:11" x14ac:dyDescent="0.25">
      <c r="B61" t="s">
        <v>99</v>
      </c>
      <c r="G61" s="31"/>
      <c r="H61" s="31"/>
      <c r="I61" s="31"/>
      <c r="J61" s="35"/>
      <c r="K61" s="35"/>
    </row>
    <row r="62" spans="2:11" x14ac:dyDescent="0.25">
      <c r="B62" t="s">
        <v>100</v>
      </c>
      <c r="G62" s="31"/>
      <c r="H62" s="31"/>
      <c r="I62" s="31"/>
      <c r="J62" s="35"/>
      <c r="K62" s="35"/>
    </row>
    <row r="63" spans="2:11" x14ac:dyDescent="0.25">
      <c r="B63" t="s">
        <v>101</v>
      </c>
      <c r="G63" s="31"/>
      <c r="H63" s="31"/>
      <c r="I63" s="31"/>
      <c r="J63" s="35"/>
      <c r="K63" s="35"/>
    </row>
    <row r="64" spans="2:11" x14ac:dyDescent="0.25">
      <c r="B64" t="s">
        <v>102</v>
      </c>
      <c r="G64" s="31"/>
      <c r="H64" s="31"/>
      <c r="I64" s="31"/>
      <c r="J64" s="35"/>
      <c r="K64" s="35"/>
    </row>
    <row r="65" spans="2:11" x14ac:dyDescent="0.25">
      <c r="B65" t="s">
        <v>103</v>
      </c>
      <c r="G65" s="31"/>
      <c r="H65" s="31"/>
      <c r="I65" s="31"/>
      <c r="J65" s="35"/>
      <c r="K65" s="35"/>
    </row>
    <row r="66" spans="2:11" x14ac:dyDescent="0.25">
      <c r="B66" t="s">
        <v>104</v>
      </c>
      <c r="G66" s="31"/>
      <c r="H66" s="31"/>
      <c r="I66" s="31"/>
      <c r="J66" s="35"/>
      <c r="K66" s="35"/>
    </row>
    <row r="67" spans="2:11" x14ac:dyDescent="0.25">
      <c r="B67" t="s">
        <v>105</v>
      </c>
      <c r="G67" s="31"/>
      <c r="H67" s="31"/>
      <c r="I67" s="31"/>
      <c r="J67" s="35"/>
      <c r="K67" s="35"/>
    </row>
    <row r="68" spans="2:11" x14ac:dyDescent="0.25">
      <c r="B68" t="s">
        <v>106</v>
      </c>
      <c r="G68" s="31"/>
      <c r="H68" s="31"/>
      <c r="I68" s="31"/>
      <c r="J68" s="35"/>
      <c r="K68" s="35"/>
    </row>
    <row r="69" spans="2:11" x14ac:dyDescent="0.25">
      <c r="B69" t="s">
        <v>107</v>
      </c>
      <c r="G69" s="31"/>
      <c r="H69" s="31"/>
      <c r="I69" s="31"/>
      <c r="J69" s="35"/>
      <c r="K69" s="35"/>
    </row>
    <row r="70" spans="2:11" x14ac:dyDescent="0.25">
      <c r="B70" t="s">
        <v>108</v>
      </c>
      <c r="G70" s="31"/>
      <c r="H70" s="31"/>
      <c r="I70" s="31"/>
      <c r="J70" s="35"/>
      <c r="K70" s="35"/>
    </row>
    <row r="71" spans="2:11" x14ac:dyDescent="0.25">
      <c r="B71" t="s">
        <v>109</v>
      </c>
      <c r="G71" s="31"/>
      <c r="H71" s="31"/>
      <c r="I71" s="31"/>
      <c r="J71" s="35"/>
      <c r="K71" s="35"/>
    </row>
    <row r="72" spans="2:11" x14ac:dyDescent="0.25">
      <c r="B72" t="s">
        <v>110</v>
      </c>
      <c r="G72" s="31"/>
      <c r="H72" s="31"/>
      <c r="I72" s="31"/>
      <c r="J72" s="35"/>
      <c r="K72" s="35"/>
    </row>
    <row r="73" spans="2:11" x14ac:dyDescent="0.25">
      <c r="B73" t="s">
        <v>111</v>
      </c>
      <c r="G73" s="31"/>
      <c r="H73" s="31"/>
      <c r="I73" s="31"/>
      <c r="J73" s="35"/>
      <c r="K73" s="35"/>
    </row>
    <row r="74" spans="2:11" x14ac:dyDescent="0.25">
      <c r="B74" t="s">
        <v>112</v>
      </c>
      <c r="G74" s="31"/>
      <c r="H74" s="31"/>
      <c r="I74" s="31"/>
      <c r="J74" s="35"/>
      <c r="K74" s="35"/>
    </row>
    <row r="75" spans="2:11" x14ac:dyDescent="0.25">
      <c r="B75" t="s">
        <v>113</v>
      </c>
      <c r="G75" s="31"/>
      <c r="H75" s="31"/>
      <c r="I75" s="31"/>
      <c r="J75" s="35"/>
      <c r="K75" s="35"/>
    </row>
    <row r="76" spans="2:11" x14ac:dyDescent="0.25">
      <c r="B76" t="s">
        <v>114</v>
      </c>
      <c r="G76" s="31"/>
      <c r="H76" s="31"/>
      <c r="I76" s="31"/>
      <c r="J76" s="35"/>
      <c r="K76" s="35"/>
    </row>
    <row r="77" spans="2:11" x14ac:dyDescent="0.25">
      <c r="B77" t="s">
        <v>115</v>
      </c>
      <c r="G77" s="31"/>
      <c r="H77" s="31"/>
      <c r="I77" s="31"/>
      <c r="J77" s="35"/>
      <c r="K77" s="35"/>
    </row>
    <row r="78" spans="2:11" x14ac:dyDescent="0.25">
      <c r="B78" t="s">
        <v>116</v>
      </c>
      <c r="G78" s="31"/>
      <c r="H78" s="31"/>
      <c r="I78" s="31"/>
      <c r="J78" s="35"/>
      <c r="K78" s="35"/>
    </row>
    <row r="79" spans="2:11" x14ac:dyDescent="0.25">
      <c r="B79" t="s">
        <v>117</v>
      </c>
      <c r="G79" s="31"/>
      <c r="H79" s="31"/>
      <c r="I79" s="31"/>
      <c r="J79" s="35"/>
      <c r="K79" s="35"/>
    </row>
    <row r="80" spans="2:11" x14ac:dyDescent="0.25">
      <c r="B80" t="s">
        <v>118</v>
      </c>
      <c r="G80" s="31"/>
      <c r="H80" s="31"/>
      <c r="I80" s="31"/>
      <c r="J80" s="35"/>
      <c r="K80" s="35"/>
    </row>
    <row r="81" spans="2:11" x14ac:dyDescent="0.25">
      <c r="B81" t="s">
        <v>119</v>
      </c>
      <c r="G81" s="31"/>
      <c r="H81" s="31"/>
      <c r="I81" s="31"/>
      <c r="J81" s="35"/>
      <c r="K81" s="35"/>
    </row>
    <row r="82" spans="2:11" x14ac:dyDescent="0.25">
      <c r="B82" t="s">
        <v>120</v>
      </c>
      <c r="G82" s="31"/>
      <c r="H82" s="31"/>
      <c r="I82" s="31"/>
      <c r="J82" s="35"/>
      <c r="K82" s="35"/>
    </row>
    <row r="83" spans="2:11" x14ac:dyDescent="0.25">
      <c r="B83" t="s">
        <v>121</v>
      </c>
      <c r="G83" s="31"/>
      <c r="H83" s="31"/>
      <c r="I83" s="31"/>
      <c r="J83" s="35"/>
      <c r="K83" s="35"/>
    </row>
    <row r="84" spans="2:11" x14ac:dyDescent="0.25">
      <c r="B84" t="s">
        <v>122</v>
      </c>
      <c r="G84" s="31"/>
      <c r="H84" s="31"/>
      <c r="I84" s="31"/>
      <c r="J84" s="35"/>
      <c r="K84" s="35"/>
    </row>
    <row r="85" spans="2:11" x14ac:dyDescent="0.25">
      <c r="B85" t="s">
        <v>123</v>
      </c>
      <c r="G85" s="31"/>
      <c r="H85" s="31"/>
      <c r="I85" s="31"/>
      <c r="J85" s="35"/>
      <c r="K85" s="35"/>
    </row>
    <row r="86" spans="2:11" x14ac:dyDescent="0.25">
      <c r="B86" t="s">
        <v>124</v>
      </c>
      <c r="G86" s="31"/>
      <c r="H86" s="31"/>
      <c r="I86" s="31"/>
      <c r="J86" s="35"/>
      <c r="K86" s="35"/>
    </row>
    <row r="87" spans="2:11" x14ac:dyDescent="0.25">
      <c r="B87" t="s">
        <v>125</v>
      </c>
      <c r="G87" s="31"/>
      <c r="H87" s="31"/>
      <c r="I87" s="31"/>
      <c r="J87" s="35"/>
      <c r="K87" s="35"/>
    </row>
    <row r="88" spans="2:11" x14ac:dyDescent="0.25">
      <c r="B88" t="s">
        <v>126</v>
      </c>
      <c r="G88" s="31"/>
      <c r="H88" s="31"/>
      <c r="I88" s="31"/>
      <c r="J88" s="35"/>
      <c r="K88" s="35"/>
    </row>
    <row r="89" spans="2:11" x14ac:dyDescent="0.25">
      <c r="B89" t="s">
        <v>127</v>
      </c>
      <c r="G89" s="31"/>
      <c r="H89" s="31"/>
      <c r="I89" s="31"/>
      <c r="J89" s="35"/>
      <c r="K89" s="35"/>
    </row>
    <row r="90" spans="2:11" x14ac:dyDescent="0.25">
      <c r="B90" t="s">
        <v>128</v>
      </c>
      <c r="G90" s="31"/>
      <c r="H90" s="31"/>
      <c r="I90" s="31"/>
      <c r="J90" s="35"/>
      <c r="K90" s="35"/>
    </row>
    <row r="91" spans="2:11" x14ac:dyDescent="0.25">
      <c r="B91" t="s">
        <v>129</v>
      </c>
      <c r="G91" s="31"/>
      <c r="H91" s="31"/>
      <c r="I91" s="31"/>
      <c r="J91" s="35"/>
      <c r="K91" s="35"/>
    </row>
    <row r="92" spans="2:11" x14ac:dyDescent="0.25">
      <c r="B92" t="s">
        <v>130</v>
      </c>
      <c r="G92" s="31"/>
      <c r="H92" s="31"/>
      <c r="I92" s="31"/>
      <c r="J92" s="35"/>
      <c r="K92" s="35"/>
    </row>
    <row r="93" spans="2:11" x14ac:dyDescent="0.25">
      <c r="B93" t="s">
        <v>131</v>
      </c>
      <c r="G93" s="31"/>
      <c r="H93" s="31"/>
      <c r="I93" s="31"/>
      <c r="J93" s="35"/>
      <c r="K93" s="35"/>
    </row>
    <row r="94" spans="2:11" x14ac:dyDescent="0.25">
      <c r="B94" t="s">
        <v>132</v>
      </c>
      <c r="G94" s="31"/>
      <c r="H94" s="31"/>
      <c r="I94" s="31"/>
      <c r="J94" s="35"/>
      <c r="K94" s="35"/>
    </row>
    <row r="95" spans="2:11" x14ac:dyDescent="0.25">
      <c r="B95" t="s">
        <v>133</v>
      </c>
      <c r="G95" s="31"/>
      <c r="H95" s="31"/>
      <c r="I95" s="31"/>
      <c r="J95" s="35"/>
      <c r="K95" s="35"/>
    </row>
    <row r="96" spans="2:11" x14ac:dyDescent="0.25">
      <c r="B96" t="s">
        <v>134</v>
      </c>
      <c r="G96" s="31"/>
      <c r="H96" s="31"/>
      <c r="I96" s="31"/>
      <c r="J96" s="35"/>
      <c r="K96" s="35"/>
    </row>
    <row r="97" spans="2:11" x14ac:dyDescent="0.25">
      <c r="B97" t="s">
        <v>135</v>
      </c>
      <c r="G97" s="31"/>
      <c r="H97" s="31"/>
      <c r="I97" s="31"/>
      <c r="J97" s="35"/>
      <c r="K97" s="35"/>
    </row>
    <row r="98" spans="2:11" x14ac:dyDescent="0.25">
      <c r="B98" t="s">
        <v>136</v>
      </c>
      <c r="G98" s="31"/>
      <c r="H98" s="31"/>
      <c r="I98" s="31"/>
      <c r="J98" s="35"/>
      <c r="K98" s="35"/>
    </row>
    <row r="99" spans="2:11" x14ac:dyDescent="0.25">
      <c r="B99" t="s">
        <v>137</v>
      </c>
      <c r="G99" s="31"/>
      <c r="H99" s="31"/>
      <c r="I99" s="31"/>
      <c r="J99" s="35"/>
      <c r="K99" s="35"/>
    </row>
    <row r="100" spans="2:11" x14ac:dyDescent="0.25">
      <c r="B100" t="s">
        <v>138</v>
      </c>
      <c r="G100" s="31"/>
      <c r="H100" s="31"/>
      <c r="I100" s="31"/>
      <c r="J100" s="35"/>
      <c r="K100" s="35"/>
    </row>
    <row r="101" spans="2:11" x14ac:dyDescent="0.25">
      <c r="B101" t="s">
        <v>139</v>
      </c>
      <c r="G101" s="31"/>
      <c r="H101" s="31"/>
      <c r="I101" s="31"/>
      <c r="J101" s="35"/>
      <c r="K101" s="35"/>
    </row>
    <row r="102" spans="2:11" x14ac:dyDescent="0.25">
      <c r="B102" t="s">
        <v>140</v>
      </c>
      <c r="G102" s="31"/>
      <c r="H102" s="31"/>
      <c r="I102" s="31"/>
      <c r="J102" s="35"/>
      <c r="K102" s="35"/>
    </row>
    <row r="103" spans="2:11" x14ac:dyDescent="0.25">
      <c r="B103" t="s">
        <v>141</v>
      </c>
      <c r="G103" s="31"/>
      <c r="H103" s="31"/>
      <c r="I103" s="31"/>
      <c r="J103" s="35"/>
      <c r="K103" s="35"/>
    </row>
    <row r="104" spans="2:11" x14ac:dyDescent="0.25">
      <c r="B104" t="s">
        <v>142</v>
      </c>
      <c r="G104" s="31"/>
      <c r="H104" s="31"/>
      <c r="I104" s="31"/>
      <c r="J104" s="35"/>
      <c r="K104" s="35"/>
    </row>
    <row r="105" spans="2:11" x14ac:dyDescent="0.25">
      <c r="B105" t="s">
        <v>143</v>
      </c>
      <c r="G105" s="31"/>
      <c r="H105" s="31"/>
      <c r="I105" s="31"/>
      <c r="J105" s="35"/>
      <c r="K105" s="35"/>
    </row>
    <row r="106" spans="2:11" x14ac:dyDescent="0.25">
      <c r="B106" t="s">
        <v>144</v>
      </c>
      <c r="G106" s="31"/>
      <c r="H106" s="31"/>
      <c r="I106" s="31"/>
      <c r="J106" s="35"/>
      <c r="K106" s="35"/>
    </row>
    <row r="107" spans="2:11" x14ac:dyDescent="0.25">
      <c r="B107" t="s">
        <v>145</v>
      </c>
      <c r="G107" s="31"/>
      <c r="H107" s="31"/>
      <c r="I107" s="31"/>
      <c r="J107" s="35"/>
      <c r="K107" s="35"/>
    </row>
    <row r="108" spans="2:11" x14ac:dyDescent="0.25">
      <c r="B108" t="s">
        <v>146</v>
      </c>
      <c r="G108" s="31"/>
      <c r="H108" s="31"/>
      <c r="I108" s="31"/>
      <c r="J108" s="35"/>
      <c r="K108" s="35"/>
    </row>
    <row r="109" spans="2:11" x14ac:dyDescent="0.25">
      <c r="B109" t="s">
        <v>147</v>
      </c>
      <c r="G109" s="31"/>
      <c r="H109" s="31"/>
      <c r="I109" s="31"/>
      <c r="J109" s="35"/>
      <c r="K109" s="35"/>
    </row>
    <row r="110" spans="2:11" x14ac:dyDescent="0.25">
      <c r="B110" t="s">
        <v>148</v>
      </c>
      <c r="G110" s="31"/>
      <c r="H110" s="31"/>
      <c r="I110" s="31"/>
      <c r="J110" s="35"/>
      <c r="K110" s="35"/>
    </row>
    <row r="111" spans="2:11" x14ac:dyDescent="0.25">
      <c r="B111" t="s">
        <v>149</v>
      </c>
      <c r="G111" s="31"/>
      <c r="H111" s="31"/>
      <c r="I111" s="31"/>
      <c r="J111" s="35"/>
      <c r="K111" s="35"/>
    </row>
    <row r="112" spans="2:11" x14ac:dyDescent="0.25">
      <c r="B112" t="s">
        <v>150</v>
      </c>
      <c r="G112" s="31"/>
      <c r="H112" s="31"/>
      <c r="I112" s="31"/>
      <c r="J112" s="35"/>
      <c r="K112" s="35"/>
    </row>
    <row r="113" spans="2:11" x14ac:dyDescent="0.25">
      <c r="B113" t="s">
        <v>151</v>
      </c>
      <c r="G113" s="31"/>
      <c r="H113" s="31"/>
      <c r="I113" s="31"/>
      <c r="J113" s="35"/>
      <c r="K113" s="35"/>
    </row>
    <row r="114" spans="2:11" x14ac:dyDescent="0.25">
      <c r="B114" t="s">
        <v>152</v>
      </c>
      <c r="G114" s="31"/>
      <c r="H114" s="31"/>
      <c r="I114" s="31"/>
      <c r="J114" s="35"/>
      <c r="K114" s="35"/>
    </row>
    <row r="115" spans="2:11" x14ac:dyDescent="0.25">
      <c r="B115" t="s">
        <v>153</v>
      </c>
      <c r="G115" s="31"/>
      <c r="H115" s="31"/>
      <c r="I115" s="31"/>
      <c r="J115" s="35"/>
      <c r="K115" s="35"/>
    </row>
    <row r="116" spans="2:11" x14ac:dyDescent="0.25">
      <c r="B116" t="s">
        <v>154</v>
      </c>
      <c r="G116" s="31"/>
      <c r="H116" s="31"/>
      <c r="I116" s="31"/>
      <c r="J116" s="35"/>
      <c r="K116" s="35"/>
    </row>
    <row r="117" spans="2:11" x14ac:dyDescent="0.25">
      <c r="B117" t="s">
        <v>155</v>
      </c>
      <c r="G117" s="31"/>
      <c r="H117" s="31"/>
      <c r="I117" s="31"/>
      <c r="J117" s="35"/>
      <c r="K117" s="35"/>
    </row>
    <row r="118" spans="2:11" x14ac:dyDescent="0.25">
      <c r="B118" t="s">
        <v>156</v>
      </c>
      <c r="G118" s="31"/>
      <c r="H118" s="31"/>
      <c r="I118" s="31"/>
      <c r="J118" s="35"/>
      <c r="K118" s="35"/>
    </row>
    <row r="119" spans="2:11" x14ac:dyDescent="0.25">
      <c r="B119" t="s">
        <v>157</v>
      </c>
      <c r="G119" s="31"/>
      <c r="H119" s="31"/>
      <c r="I119" s="31"/>
      <c r="J119" s="35"/>
      <c r="K119" s="35"/>
    </row>
    <row r="120" spans="2:11" ht="14.45" x14ac:dyDescent="0.35">
      <c r="B120" t="s">
        <v>158</v>
      </c>
      <c r="G120" s="31"/>
      <c r="H120" s="31"/>
      <c r="I120" s="31"/>
      <c r="J120" s="35"/>
      <c r="K120" s="35"/>
    </row>
    <row r="121" spans="2:11" ht="14.45" x14ac:dyDescent="0.35">
      <c r="B121" t="s">
        <v>159</v>
      </c>
      <c r="G121" s="31"/>
      <c r="H121" s="31"/>
      <c r="I121" s="31"/>
      <c r="J121" s="35"/>
      <c r="K121" s="35"/>
    </row>
    <row r="122" spans="2:11" ht="14.45" x14ac:dyDescent="0.35">
      <c r="B122" t="s">
        <v>160</v>
      </c>
      <c r="G122" s="31"/>
      <c r="H122" s="31"/>
      <c r="I122" s="31"/>
      <c r="J122" s="35"/>
      <c r="K122" s="35"/>
    </row>
    <row r="123" spans="2:11" ht="14.45" x14ac:dyDescent="0.35">
      <c r="B123" t="s">
        <v>161</v>
      </c>
      <c r="G123" s="31"/>
      <c r="H123" s="31"/>
      <c r="I123" s="31"/>
      <c r="J123" s="35"/>
      <c r="K123" s="35"/>
    </row>
    <row r="124" spans="2:11" ht="14.45" x14ac:dyDescent="0.35">
      <c r="B124" t="s">
        <v>162</v>
      </c>
      <c r="G124" s="31"/>
      <c r="H124" s="31"/>
      <c r="I124" s="31"/>
      <c r="J124" s="35"/>
      <c r="K124" s="35"/>
    </row>
    <row r="125" spans="2:11" ht="14.45" x14ac:dyDescent="0.35">
      <c r="B125" t="s">
        <v>163</v>
      </c>
      <c r="G125" s="31"/>
      <c r="H125" s="31"/>
      <c r="I125" s="31"/>
      <c r="J125" s="35"/>
      <c r="K125" s="35"/>
    </row>
    <row r="126" spans="2:11" ht="14.45" x14ac:dyDescent="0.35">
      <c r="B126" t="s">
        <v>164</v>
      </c>
      <c r="G126" s="31"/>
      <c r="H126" s="31"/>
      <c r="I126" s="31"/>
      <c r="J126" s="35"/>
      <c r="K126" s="35"/>
    </row>
    <row r="127" spans="2:11" ht="14.45" x14ac:dyDescent="0.35">
      <c r="B127" t="s">
        <v>165</v>
      </c>
      <c r="G127" s="31"/>
      <c r="H127" s="31"/>
      <c r="I127" s="31"/>
      <c r="J127" s="35"/>
      <c r="K127" s="35"/>
    </row>
    <row r="128" spans="2:11" ht="14.45" x14ac:dyDescent="0.35">
      <c r="B128" t="s">
        <v>166</v>
      </c>
      <c r="G128" s="31"/>
      <c r="H128" s="31"/>
      <c r="I128" s="31"/>
      <c r="J128" s="35"/>
      <c r="K128" s="35"/>
    </row>
    <row r="129" spans="2:11" ht="14.45" x14ac:dyDescent="0.35">
      <c r="B129" t="s">
        <v>167</v>
      </c>
      <c r="G129" s="31"/>
      <c r="H129" s="31"/>
      <c r="I129" s="31"/>
      <c r="J129" s="35"/>
      <c r="K129" s="35"/>
    </row>
    <row r="130" spans="2:11" ht="14.45" x14ac:dyDescent="0.35">
      <c r="B130" t="s">
        <v>168</v>
      </c>
      <c r="G130" s="31"/>
      <c r="H130" s="31"/>
      <c r="I130" s="31"/>
      <c r="J130" s="35"/>
      <c r="K130" s="35"/>
    </row>
    <row r="131" spans="2:11" ht="14.45" x14ac:dyDescent="0.35">
      <c r="B131" t="s">
        <v>169</v>
      </c>
      <c r="G131" s="31"/>
      <c r="H131" s="31"/>
      <c r="I131" s="31"/>
      <c r="J131" s="35"/>
      <c r="K131" s="35"/>
    </row>
    <row r="132" spans="2:11" ht="14.45" x14ac:dyDescent="0.35">
      <c r="B132" t="s">
        <v>170</v>
      </c>
      <c r="G132" s="31"/>
      <c r="H132" s="31"/>
      <c r="I132" s="31"/>
      <c r="J132" s="35"/>
      <c r="K132" s="35"/>
    </row>
    <row r="133" spans="2:11" ht="14.45" x14ac:dyDescent="0.35">
      <c r="B133" t="s">
        <v>171</v>
      </c>
      <c r="G133" s="31"/>
      <c r="H133" s="31"/>
      <c r="I133" s="31"/>
      <c r="J133" s="35"/>
      <c r="K133" s="35"/>
    </row>
    <row r="134" spans="2:11" ht="14.45" x14ac:dyDescent="0.35">
      <c r="B134" t="s">
        <v>172</v>
      </c>
      <c r="G134" s="31"/>
      <c r="H134" s="31"/>
      <c r="I134" s="31"/>
      <c r="J134" s="35"/>
      <c r="K134" s="35"/>
    </row>
    <row r="135" spans="2:11" ht="14.45" x14ac:dyDescent="0.35">
      <c r="B135" t="s">
        <v>173</v>
      </c>
      <c r="G135" s="31"/>
      <c r="H135" s="31"/>
      <c r="I135" s="31"/>
      <c r="J135" s="35"/>
      <c r="K135" s="35"/>
    </row>
    <row r="136" spans="2:11" ht="14.45" x14ac:dyDescent="0.35">
      <c r="B136" t="s">
        <v>174</v>
      </c>
      <c r="G136" s="31"/>
      <c r="H136" s="31"/>
      <c r="I136" s="31"/>
      <c r="J136" s="35"/>
      <c r="K136" s="35"/>
    </row>
    <row r="137" spans="2:11" ht="14.45" x14ac:dyDescent="0.35">
      <c r="B137" t="s">
        <v>175</v>
      </c>
      <c r="G137" s="31"/>
      <c r="H137" s="31"/>
      <c r="I137" s="31"/>
      <c r="J137" s="35"/>
      <c r="K137" s="35"/>
    </row>
    <row r="138" spans="2:11" ht="14.45" x14ac:dyDescent="0.35">
      <c r="B138" t="s">
        <v>176</v>
      </c>
      <c r="G138" s="31"/>
      <c r="H138" s="31"/>
      <c r="I138" s="31"/>
      <c r="J138" s="35"/>
      <c r="K138" s="35"/>
    </row>
    <row r="139" spans="2:11" ht="14.45" x14ac:dyDescent="0.35">
      <c r="B139" t="s">
        <v>177</v>
      </c>
      <c r="G139" s="31"/>
      <c r="H139" s="31"/>
      <c r="I139" s="31"/>
      <c r="J139" s="35"/>
      <c r="K139" s="35"/>
    </row>
    <row r="140" spans="2:11" ht="14.45" x14ac:dyDescent="0.35">
      <c r="B140" t="s">
        <v>178</v>
      </c>
      <c r="G140" s="31"/>
      <c r="H140" s="31"/>
      <c r="I140" s="31"/>
      <c r="J140" s="35"/>
      <c r="K140" s="35"/>
    </row>
    <row r="141" spans="2:11" ht="14.45" x14ac:dyDescent="0.35">
      <c r="B141" t="s">
        <v>179</v>
      </c>
      <c r="G141" s="31"/>
      <c r="H141" s="31"/>
      <c r="I141" s="31"/>
      <c r="J141" s="35"/>
      <c r="K141" s="35"/>
    </row>
    <row r="142" spans="2:11" ht="14.45" x14ac:dyDescent="0.35">
      <c r="B142" t="s">
        <v>180</v>
      </c>
      <c r="G142" s="31"/>
      <c r="H142" s="31"/>
      <c r="I142" s="31"/>
      <c r="J142" s="35"/>
      <c r="K142" s="35"/>
    </row>
    <row r="143" spans="2:11" ht="14.45" x14ac:dyDescent="0.35">
      <c r="B143" t="s">
        <v>181</v>
      </c>
      <c r="G143" s="31"/>
      <c r="H143" s="31"/>
      <c r="I143" s="31"/>
      <c r="J143" s="35"/>
      <c r="K143" s="35"/>
    </row>
    <row r="144" spans="2:11" ht="14.45" x14ac:dyDescent="0.35">
      <c r="B144" t="s">
        <v>182</v>
      </c>
      <c r="G144" s="31"/>
      <c r="H144" s="31"/>
      <c r="I144" s="31"/>
      <c r="J144" s="35"/>
      <c r="K144" s="35"/>
    </row>
    <row r="145" spans="2:11" ht="14.45" x14ac:dyDescent="0.35">
      <c r="B145" t="s">
        <v>183</v>
      </c>
      <c r="G145" s="31"/>
      <c r="H145" s="31"/>
      <c r="I145" s="31"/>
      <c r="J145" s="35"/>
      <c r="K145" s="35"/>
    </row>
    <row r="146" spans="2:11" ht="14.45" x14ac:dyDescent="0.35">
      <c r="B146" t="s">
        <v>184</v>
      </c>
      <c r="G146" s="31"/>
      <c r="H146" s="31"/>
      <c r="I146" s="31"/>
      <c r="J146" s="35"/>
      <c r="K146" s="35"/>
    </row>
    <row r="147" spans="2:11" ht="14.45" x14ac:dyDescent="0.35">
      <c r="B147" t="s">
        <v>185</v>
      </c>
      <c r="G147" s="31"/>
      <c r="H147" s="31"/>
      <c r="I147" s="31"/>
      <c r="J147" s="35"/>
      <c r="K147" s="35"/>
    </row>
    <row r="148" spans="2:11" ht="14.45" x14ac:dyDescent="0.35">
      <c r="B148" t="s">
        <v>186</v>
      </c>
      <c r="G148" s="31"/>
      <c r="H148" s="31"/>
      <c r="I148" s="31"/>
      <c r="J148" s="35"/>
      <c r="K148" s="35"/>
    </row>
    <row r="149" spans="2:11" ht="14.45" x14ac:dyDescent="0.35">
      <c r="B149" t="s">
        <v>187</v>
      </c>
      <c r="G149" s="31"/>
      <c r="H149" s="31"/>
      <c r="I149" s="31"/>
      <c r="J149" s="35"/>
      <c r="K149" s="35"/>
    </row>
    <row r="150" spans="2:11" ht="14.45" x14ac:dyDescent="0.35">
      <c r="B150" t="s">
        <v>188</v>
      </c>
      <c r="G150" s="31"/>
      <c r="H150" s="31"/>
      <c r="I150" s="31"/>
      <c r="J150" s="35"/>
      <c r="K150" s="35"/>
    </row>
    <row r="151" spans="2:11" ht="14.45" x14ac:dyDescent="0.35">
      <c r="B151" t="s">
        <v>189</v>
      </c>
      <c r="G151" s="31"/>
      <c r="H151" s="31"/>
      <c r="I151" s="31"/>
      <c r="J151" s="35"/>
      <c r="K151" s="35"/>
    </row>
    <row r="152" spans="2:11" ht="14.45" x14ac:dyDescent="0.35">
      <c r="B152" t="s">
        <v>190</v>
      </c>
      <c r="G152" s="31"/>
      <c r="H152" s="31"/>
      <c r="I152" s="31"/>
      <c r="J152" s="35"/>
      <c r="K152" s="35"/>
    </row>
    <row r="153" spans="2:11" ht="14.45" x14ac:dyDescent="0.35">
      <c r="B153" t="s">
        <v>191</v>
      </c>
      <c r="G153" s="31"/>
      <c r="H153" s="31"/>
      <c r="I153" s="31"/>
      <c r="J153" s="35"/>
      <c r="K153" s="35"/>
    </row>
    <row r="154" spans="2:11" ht="14.45" x14ac:dyDescent="0.35">
      <c r="B154" t="s">
        <v>192</v>
      </c>
      <c r="G154" s="31"/>
      <c r="H154" s="31"/>
      <c r="I154" s="31"/>
      <c r="J154" s="35"/>
      <c r="K154" s="35"/>
    </row>
    <row r="155" spans="2:11" ht="14.45" x14ac:dyDescent="0.35">
      <c r="B155" t="s">
        <v>193</v>
      </c>
      <c r="G155" s="31"/>
      <c r="H155" s="31"/>
      <c r="I155" s="31"/>
      <c r="J155" s="35"/>
      <c r="K155" s="35"/>
    </row>
    <row r="156" spans="2:11" ht="14.45" x14ac:dyDescent="0.35">
      <c r="B156" t="s">
        <v>194</v>
      </c>
      <c r="G156" s="31"/>
      <c r="H156" s="31"/>
      <c r="I156" s="31"/>
      <c r="J156" s="35"/>
      <c r="K156" s="35"/>
    </row>
    <row r="157" spans="2:11" ht="14.45" x14ac:dyDescent="0.35">
      <c r="B157" t="s">
        <v>195</v>
      </c>
      <c r="G157" s="31"/>
      <c r="H157" s="31"/>
      <c r="I157" s="32"/>
      <c r="J157" s="35"/>
      <c r="K157" s="35"/>
    </row>
    <row r="158" spans="2:11" ht="14.45" x14ac:dyDescent="0.35">
      <c r="B158" t="s">
        <v>196</v>
      </c>
      <c r="G158" s="31"/>
      <c r="H158" s="31"/>
      <c r="I158" s="31"/>
      <c r="J158" s="35"/>
      <c r="K158" s="35"/>
    </row>
    <row r="159" spans="2:11" ht="14.45" x14ac:dyDescent="0.35">
      <c r="B159" t="s">
        <v>197</v>
      </c>
      <c r="G159" s="31"/>
      <c r="H159" s="31"/>
      <c r="I159" s="31"/>
      <c r="J159" s="35"/>
      <c r="K159" s="35"/>
    </row>
    <row r="160" spans="2:11" ht="14.45" x14ac:dyDescent="0.35">
      <c r="B160" t="s">
        <v>198</v>
      </c>
      <c r="G160" s="31"/>
      <c r="H160" s="31"/>
      <c r="I160" s="31"/>
      <c r="J160" s="35"/>
      <c r="K160" s="35"/>
    </row>
    <row r="161" spans="2:11" ht="14.45" x14ac:dyDescent="0.35">
      <c r="B161" t="s">
        <v>199</v>
      </c>
      <c r="G161" s="31"/>
      <c r="H161" s="31"/>
      <c r="I161" s="32"/>
      <c r="J161" s="35"/>
      <c r="K161" s="35"/>
    </row>
    <row r="162" spans="2:11" ht="14.45" x14ac:dyDescent="0.35">
      <c r="B162" t="s">
        <v>200</v>
      </c>
      <c r="G162" s="31"/>
      <c r="H162" s="31"/>
      <c r="I162" s="31"/>
      <c r="J162" s="35"/>
      <c r="K162" s="35"/>
    </row>
    <row r="163" spans="2:11" ht="14.45" x14ac:dyDescent="0.35">
      <c r="B163" t="s">
        <v>201</v>
      </c>
      <c r="G163" s="31"/>
      <c r="H163" s="31"/>
      <c r="I163" s="31"/>
      <c r="J163" s="35"/>
      <c r="K163" s="35"/>
    </row>
    <row r="164" spans="2:11" ht="14.45" x14ac:dyDescent="0.35">
      <c r="B164" t="s">
        <v>202</v>
      </c>
      <c r="G164" s="31"/>
      <c r="H164" s="31"/>
      <c r="I164" s="31"/>
      <c r="J164" s="35"/>
      <c r="K164" s="35"/>
    </row>
    <row r="165" spans="2:11" ht="14.45" x14ac:dyDescent="0.35">
      <c r="B165" t="s">
        <v>203</v>
      </c>
      <c r="G165" s="31"/>
      <c r="H165" s="31"/>
      <c r="I165" s="31"/>
      <c r="J165" s="35"/>
      <c r="K165" s="35"/>
    </row>
    <row r="166" spans="2:11" ht="14.45" x14ac:dyDescent="0.35">
      <c r="B166" t="s">
        <v>204</v>
      </c>
      <c r="G166" s="31"/>
      <c r="H166" s="31"/>
      <c r="I166" s="31"/>
      <c r="J166" s="35"/>
      <c r="K166" s="35"/>
    </row>
    <row r="167" spans="2:11" ht="14.45" x14ac:dyDescent="0.35">
      <c r="B167" t="s">
        <v>205</v>
      </c>
      <c r="G167" s="31"/>
      <c r="H167" s="31"/>
      <c r="I167" s="31"/>
      <c r="J167" s="35"/>
      <c r="K167" s="35"/>
    </row>
    <row r="168" spans="2:11" ht="14.45" x14ac:dyDescent="0.35">
      <c r="B168" t="s">
        <v>206</v>
      </c>
      <c r="G168" s="31"/>
      <c r="H168" s="31"/>
      <c r="I168" s="31"/>
      <c r="J168" s="35"/>
      <c r="K168" s="35"/>
    </row>
    <row r="169" spans="2:11" ht="14.45" x14ac:dyDescent="0.35">
      <c r="B169" t="s">
        <v>207</v>
      </c>
      <c r="G169" s="31"/>
      <c r="H169" s="31"/>
      <c r="I169" s="31"/>
      <c r="J169" s="35"/>
      <c r="K169" s="35"/>
    </row>
    <row r="170" spans="2:11" ht="14.45" x14ac:dyDescent="0.35">
      <c r="B170" t="s">
        <v>208</v>
      </c>
      <c r="G170" s="31"/>
      <c r="H170" s="31"/>
      <c r="I170" s="31"/>
      <c r="J170" s="35"/>
      <c r="K170" s="35"/>
    </row>
    <row r="171" spans="2:11" ht="14.45" x14ac:dyDescent="0.35">
      <c r="B171" t="s">
        <v>209</v>
      </c>
      <c r="G171" s="31"/>
      <c r="H171" s="31"/>
      <c r="I171" s="31"/>
      <c r="J171" s="35"/>
      <c r="K171" s="35"/>
    </row>
    <row r="172" spans="2:11" ht="14.45" x14ac:dyDescent="0.35">
      <c r="B172" t="s">
        <v>210</v>
      </c>
      <c r="G172" s="31"/>
      <c r="H172" s="31"/>
      <c r="I172" s="31"/>
      <c r="J172" s="35"/>
      <c r="K172" s="35"/>
    </row>
    <row r="173" spans="2:11" ht="14.45" x14ac:dyDescent="0.35">
      <c r="B173" t="s">
        <v>211</v>
      </c>
      <c r="G173" s="31"/>
      <c r="H173" s="31"/>
      <c r="I173" s="31"/>
      <c r="J173" s="35"/>
      <c r="K173" s="35"/>
    </row>
    <row r="174" spans="2:11" ht="14.45" x14ac:dyDescent="0.35">
      <c r="B174" t="s">
        <v>212</v>
      </c>
      <c r="G174" s="31"/>
      <c r="H174" s="31"/>
      <c r="I174" s="31"/>
      <c r="J174" s="35"/>
      <c r="K174" s="35"/>
    </row>
    <row r="175" spans="2:11" ht="14.45" x14ac:dyDescent="0.35">
      <c r="B175" t="s">
        <v>213</v>
      </c>
      <c r="G175" s="31"/>
      <c r="H175" s="31"/>
      <c r="I175" s="31"/>
      <c r="J175" s="35"/>
      <c r="K175" s="35"/>
    </row>
    <row r="176" spans="2:11" ht="14.45" x14ac:dyDescent="0.35">
      <c r="B176" t="s">
        <v>214</v>
      </c>
      <c r="G176" s="31"/>
      <c r="H176" s="31"/>
      <c r="I176" s="31"/>
      <c r="J176" s="35"/>
      <c r="K176" s="35"/>
    </row>
    <row r="177" spans="2:11" ht="14.45" x14ac:dyDescent="0.35">
      <c r="B177" t="s">
        <v>215</v>
      </c>
      <c r="G177" s="31"/>
      <c r="H177" s="31"/>
      <c r="I177" s="31"/>
      <c r="J177" s="35"/>
      <c r="K177" s="35"/>
    </row>
    <row r="178" spans="2:11" ht="14.45" x14ac:dyDescent="0.35">
      <c r="B178" t="s">
        <v>216</v>
      </c>
      <c r="G178" s="31"/>
      <c r="H178" s="31"/>
      <c r="I178" s="31"/>
      <c r="J178" s="35"/>
      <c r="K178" s="35"/>
    </row>
    <row r="179" spans="2:11" ht="14.45" x14ac:dyDescent="0.35">
      <c r="B179" t="s">
        <v>217</v>
      </c>
      <c r="G179" s="31"/>
      <c r="H179" s="31"/>
      <c r="I179" s="31"/>
      <c r="J179" s="35"/>
      <c r="K179" s="35"/>
    </row>
    <row r="180" spans="2:11" ht="14.45" x14ac:dyDescent="0.35">
      <c r="B180" t="s">
        <v>218</v>
      </c>
      <c r="G180" s="31"/>
      <c r="H180" s="31"/>
      <c r="I180" s="31"/>
      <c r="J180" s="35"/>
      <c r="K180" s="35"/>
    </row>
    <row r="181" spans="2:11" ht="14.45" x14ac:dyDescent="0.35">
      <c r="B181" t="s">
        <v>219</v>
      </c>
      <c r="G181" s="31"/>
      <c r="H181" s="31"/>
      <c r="I181" s="31"/>
      <c r="J181" s="35"/>
      <c r="K181" s="35"/>
    </row>
    <row r="182" spans="2:11" ht="14.45" x14ac:dyDescent="0.35">
      <c r="B182" t="s">
        <v>220</v>
      </c>
      <c r="G182" s="31"/>
      <c r="H182" s="31"/>
      <c r="I182" s="31"/>
      <c r="J182" s="35"/>
      <c r="K182" s="35"/>
    </row>
    <row r="183" spans="2:11" ht="14.45" x14ac:dyDescent="0.35">
      <c r="B183" t="s">
        <v>221</v>
      </c>
      <c r="G183" s="31"/>
      <c r="H183" s="31"/>
      <c r="I183" s="31"/>
      <c r="J183" s="35"/>
      <c r="K183" s="35"/>
    </row>
    <row r="184" spans="2:11" ht="14.45" x14ac:dyDescent="0.35">
      <c r="B184" t="s">
        <v>222</v>
      </c>
      <c r="G184" s="31"/>
      <c r="H184" s="31"/>
      <c r="I184" s="31"/>
      <c r="J184" s="35"/>
      <c r="K184" s="35"/>
    </row>
    <row r="185" spans="2:11" ht="14.45" x14ac:dyDescent="0.35">
      <c r="B185" t="s">
        <v>223</v>
      </c>
      <c r="G185" s="31"/>
      <c r="H185" s="31"/>
      <c r="I185" s="31"/>
      <c r="J185" s="35"/>
      <c r="K185" s="35"/>
    </row>
    <row r="186" spans="2:11" ht="14.45" x14ac:dyDescent="0.35">
      <c r="B186" t="s">
        <v>224</v>
      </c>
      <c r="G186" s="31"/>
      <c r="H186" s="31"/>
      <c r="I186" s="31"/>
      <c r="J186" s="35"/>
      <c r="K186" s="35"/>
    </row>
    <row r="187" spans="2:11" ht="14.45" x14ac:dyDescent="0.35">
      <c r="B187" t="s">
        <v>225</v>
      </c>
      <c r="G187" s="31"/>
      <c r="H187" s="31"/>
      <c r="I187" s="31"/>
      <c r="J187" s="35"/>
      <c r="K187" s="35"/>
    </row>
    <row r="188" spans="2:11" ht="14.45" x14ac:dyDescent="0.35">
      <c r="B188" t="s">
        <v>226</v>
      </c>
      <c r="G188" s="31"/>
      <c r="H188" s="31"/>
      <c r="I188" s="31"/>
      <c r="J188" s="35"/>
      <c r="K188" s="35"/>
    </row>
    <row r="189" spans="2:11" ht="14.45" x14ac:dyDescent="0.35">
      <c r="B189" t="s">
        <v>227</v>
      </c>
      <c r="G189" s="31"/>
      <c r="H189" s="31"/>
      <c r="I189" s="31"/>
      <c r="J189" s="35"/>
      <c r="K189" s="35"/>
    </row>
    <row r="190" spans="2:11" ht="14.45" x14ac:dyDescent="0.35">
      <c r="B190" t="s">
        <v>228</v>
      </c>
      <c r="G190" s="31"/>
      <c r="H190" s="31"/>
      <c r="I190" s="31"/>
      <c r="J190" s="35"/>
      <c r="K190" s="35"/>
    </row>
    <row r="191" spans="2:11" ht="14.45" x14ac:dyDescent="0.35">
      <c r="B191" t="s">
        <v>229</v>
      </c>
      <c r="G191" s="31"/>
      <c r="H191" s="31"/>
      <c r="I191" s="31"/>
      <c r="J191" s="35"/>
      <c r="K191" s="35"/>
    </row>
    <row r="192" spans="2:11" ht="14.45" x14ac:dyDescent="0.35">
      <c r="B192" t="s">
        <v>230</v>
      </c>
      <c r="G192" s="31"/>
      <c r="H192" s="31"/>
      <c r="I192" s="31"/>
      <c r="J192" s="35"/>
      <c r="K192" s="35"/>
    </row>
    <row r="193" spans="2:11" ht="14.45" x14ac:dyDescent="0.35">
      <c r="B193" t="s">
        <v>231</v>
      </c>
      <c r="G193" s="31"/>
      <c r="H193" s="31"/>
      <c r="I193" s="31"/>
      <c r="J193" s="35"/>
      <c r="K193" s="35"/>
    </row>
    <row r="194" spans="2:11" ht="14.45" x14ac:dyDescent="0.35">
      <c r="B194" t="s">
        <v>232</v>
      </c>
      <c r="G194" s="31"/>
      <c r="H194" s="31"/>
      <c r="I194" s="31"/>
      <c r="J194" s="35"/>
      <c r="K194" s="35"/>
    </row>
    <row r="195" spans="2:11" ht="14.45" x14ac:dyDescent="0.35">
      <c r="B195" t="s">
        <v>233</v>
      </c>
      <c r="G195" s="31"/>
      <c r="H195" s="31"/>
      <c r="I195" s="31"/>
      <c r="J195" s="35"/>
      <c r="K195" s="35"/>
    </row>
    <row r="196" spans="2:11" ht="14.45" x14ac:dyDescent="0.35">
      <c r="B196" t="s">
        <v>234</v>
      </c>
      <c r="G196" s="31"/>
      <c r="H196" s="31"/>
      <c r="I196" s="31"/>
      <c r="J196" s="35"/>
      <c r="K196" s="35"/>
    </row>
    <row r="197" spans="2:11" ht="14.45" x14ac:dyDescent="0.35">
      <c r="B197" t="s">
        <v>235</v>
      </c>
      <c r="G197" s="31"/>
      <c r="H197" s="31"/>
      <c r="I197" s="31"/>
      <c r="J197" s="35"/>
      <c r="K197" s="35"/>
    </row>
    <row r="198" spans="2:11" ht="14.45" x14ac:dyDescent="0.35">
      <c r="B198" t="s">
        <v>236</v>
      </c>
      <c r="G198" s="31"/>
      <c r="H198" s="31"/>
      <c r="I198" s="31"/>
      <c r="J198" s="35"/>
      <c r="K198" s="35"/>
    </row>
    <row r="199" spans="2:11" ht="14.45" x14ac:dyDescent="0.35">
      <c r="B199" t="s">
        <v>237</v>
      </c>
      <c r="G199" s="31"/>
      <c r="H199" s="31"/>
      <c r="I199" s="31"/>
      <c r="J199" s="35"/>
      <c r="K199" s="35"/>
    </row>
    <row r="200" spans="2:11" ht="14.45" x14ac:dyDescent="0.35">
      <c r="B200" t="s">
        <v>238</v>
      </c>
      <c r="G200" s="31"/>
      <c r="H200" s="31"/>
      <c r="I200" s="31"/>
      <c r="J200" s="35"/>
      <c r="K200" s="35"/>
    </row>
    <row r="201" spans="2:11" ht="14.45" x14ac:dyDescent="0.35">
      <c r="B201" t="s">
        <v>239</v>
      </c>
      <c r="G201" s="31"/>
      <c r="H201" s="31"/>
      <c r="I201" s="31"/>
      <c r="J201" s="35"/>
      <c r="K201" s="35"/>
    </row>
    <row r="202" spans="2:11" ht="14.45" x14ac:dyDescent="0.35">
      <c r="B202" t="s">
        <v>240</v>
      </c>
      <c r="G202" s="31"/>
      <c r="H202" s="31"/>
      <c r="I202" s="31"/>
      <c r="J202" s="35"/>
      <c r="K202" s="35"/>
    </row>
    <row r="203" spans="2:11" ht="14.45" x14ac:dyDescent="0.35">
      <c r="B203" t="s">
        <v>241</v>
      </c>
      <c r="G203" s="31"/>
      <c r="H203" s="31"/>
      <c r="I203" s="31"/>
      <c r="J203" s="35"/>
      <c r="K203" s="35"/>
    </row>
    <row r="204" spans="2:11" ht="14.45" x14ac:dyDescent="0.35">
      <c r="B204" t="s">
        <v>242</v>
      </c>
      <c r="G204" s="31"/>
      <c r="H204" s="31"/>
      <c r="I204" s="31"/>
      <c r="J204" s="35"/>
      <c r="K204" s="35"/>
    </row>
    <row r="205" spans="2:11" ht="14.45" x14ac:dyDescent="0.35">
      <c r="B205" t="s">
        <v>243</v>
      </c>
      <c r="G205" s="31"/>
      <c r="H205" s="31"/>
      <c r="I205" s="31"/>
      <c r="J205" s="35"/>
      <c r="K205" s="35"/>
    </row>
    <row r="206" spans="2:11" ht="14.45" x14ac:dyDescent="0.35">
      <c r="B206" t="s">
        <v>244</v>
      </c>
      <c r="G206" s="31"/>
      <c r="H206" s="31"/>
      <c r="I206" s="31"/>
      <c r="J206" s="35"/>
      <c r="K206" s="35"/>
    </row>
    <row r="207" spans="2:11" ht="14.45" x14ac:dyDescent="0.35">
      <c r="B207" t="s">
        <v>245</v>
      </c>
      <c r="G207" s="31"/>
      <c r="H207" s="31"/>
      <c r="I207" s="31"/>
      <c r="J207" s="35"/>
      <c r="K207" s="35"/>
    </row>
    <row r="208" spans="2:11" ht="14.45" x14ac:dyDescent="0.35">
      <c r="B208" t="s">
        <v>246</v>
      </c>
      <c r="G208" s="31"/>
      <c r="H208" s="31"/>
      <c r="I208" s="31"/>
      <c r="J208" s="35"/>
      <c r="K208" s="35"/>
    </row>
    <row r="209" spans="2:11" ht="14.45" x14ac:dyDescent="0.35">
      <c r="B209" t="s">
        <v>247</v>
      </c>
      <c r="G209" s="31"/>
      <c r="H209" s="31"/>
      <c r="I209" s="31"/>
      <c r="J209" s="35"/>
      <c r="K209" s="35"/>
    </row>
    <row r="210" spans="2:11" ht="14.45" x14ac:dyDescent="0.35">
      <c r="B210" t="s">
        <v>248</v>
      </c>
      <c r="G210" s="31"/>
      <c r="H210" s="31"/>
      <c r="I210" s="31"/>
      <c r="J210" s="35"/>
      <c r="K210" s="35"/>
    </row>
    <row r="211" spans="2:11" ht="14.45" x14ac:dyDescent="0.35">
      <c r="B211" t="s">
        <v>249</v>
      </c>
      <c r="G211" s="31"/>
      <c r="H211" s="31"/>
      <c r="I211" s="31"/>
      <c r="J211" s="35"/>
      <c r="K211" s="35"/>
    </row>
    <row r="212" spans="2:11" ht="14.45" x14ac:dyDescent="0.35">
      <c r="B212" t="s">
        <v>250</v>
      </c>
      <c r="G212" s="31"/>
      <c r="H212" s="31"/>
      <c r="I212" s="31"/>
      <c r="J212" s="35"/>
      <c r="K212" s="35"/>
    </row>
    <row r="213" spans="2:11" ht="14.45" x14ac:dyDescent="0.35">
      <c r="B213" t="s">
        <v>251</v>
      </c>
      <c r="G213" s="31"/>
      <c r="H213" s="31"/>
      <c r="I213" s="31"/>
      <c r="J213" s="35"/>
      <c r="K213" s="35"/>
    </row>
    <row r="214" spans="2:11" ht="14.45" x14ac:dyDescent="0.35">
      <c r="B214" t="s">
        <v>252</v>
      </c>
      <c r="G214" s="31"/>
      <c r="H214" s="31"/>
      <c r="I214" s="31"/>
      <c r="J214" s="35"/>
      <c r="K214" s="35"/>
    </row>
    <row r="215" spans="2:11" ht="14.45" x14ac:dyDescent="0.35">
      <c r="B215" t="s">
        <v>253</v>
      </c>
      <c r="G215" s="31"/>
      <c r="H215" s="31"/>
      <c r="I215" s="31"/>
      <c r="J215" s="35"/>
      <c r="K215" s="35"/>
    </row>
    <row r="216" spans="2:11" ht="14.45" x14ac:dyDescent="0.35">
      <c r="B216" t="s">
        <v>254</v>
      </c>
      <c r="G216" s="31"/>
      <c r="H216" s="31"/>
      <c r="I216" s="31"/>
      <c r="J216" s="35"/>
      <c r="K216" s="35"/>
    </row>
    <row r="217" spans="2:11" ht="14.45" x14ac:dyDescent="0.35">
      <c r="B217" t="s">
        <v>255</v>
      </c>
      <c r="G217" s="31"/>
      <c r="H217" s="31"/>
      <c r="I217" s="31"/>
      <c r="J217" s="35"/>
      <c r="K217" s="35"/>
    </row>
    <row r="218" spans="2:11" ht="14.45" x14ac:dyDescent="0.35">
      <c r="B218" t="s">
        <v>256</v>
      </c>
      <c r="G218" s="31"/>
      <c r="H218" s="31"/>
      <c r="I218" s="31"/>
      <c r="J218" s="35"/>
      <c r="K218" s="35"/>
    </row>
    <row r="219" spans="2:11" ht="14.45" x14ac:dyDescent="0.35">
      <c r="B219" t="s">
        <v>257</v>
      </c>
      <c r="G219" s="31"/>
      <c r="H219" s="31"/>
      <c r="I219" s="31"/>
      <c r="J219" s="35"/>
      <c r="K219" s="35"/>
    </row>
    <row r="220" spans="2:11" ht="14.45" x14ac:dyDescent="0.35">
      <c r="B220" t="s">
        <v>258</v>
      </c>
      <c r="G220" s="31"/>
      <c r="H220" s="31"/>
      <c r="I220" s="31"/>
      <c r="J220" s="35"/>
      <c r="K220" s="35"/>
    </row>
    <row r="221" spans="2:11" ht="14.45" x14ac:dyDescent="0.35">
      <c r="B221" t="s">
        <v>259</v>
      </c>
      <c r="G221" s="31"/>
      <c r="H221" s="31"/>
      <c r="I221" s="31"/>
      <c r="J221" s="35"/>
      <c r="K221" s="35"/>
    </row>
    <row r="222" spans="2:11" ht="14.45" x14ac:dyDescent="0.35">
      <c r="B222" t="s">
        <v>260</v>
      </c>
      <c r="G222" s="31"/>
      <c r="H222" s="31"/>
      <c r="I222" s="31"/>
      <c r="J222" s="35"/>
      <c r="K222" s="35"/>
    </row>
    <row r="223" spans="2:11" ht="14.45" x14ac:dyDescent="0.35">
      <c r="B223" t="s">
        <v>261</v>
      </c>
      <c r="G223" s="31"/>
      <c r="H223" s="31"/>
      <c r="I223" s="31"/>
      <c r="J223" s="35"/>
      <c r="K223" s="35"/>
    </row>
    <row r="224" spans="2:11" ht="14.45" x14ac:dyDescent="0.35">
      <c r="B224" t="s">
        <v>262</v>
      </c>
      <c r="G224" s="31"/>
      <c r="H224" s="31"/>
      <c r="I224" s="31"/>
      <c r="J224" s="35"/>
      <c r="K224" s="35"/>
    </row>
    <row r="225" spans="2:11" ht="14.45" x14ac:dyDescent="0.35">
      <c r="B225" t="s">
        <v>263</v>
      </c>
      <c r="G225" s="31"/>
      <c r="H225" s="31"/>
      <c r="I225" s="31"/>
      <c r="J225" s="35"/>
      <c r="K225" s="35"/>
    </row>
    <row r="226" spans="2:11" ht="14.45" x14ac:dyDescent="0.35">
      <c r="B226" t="s">
        <v>264</v>
      </c>
      <c r="G226" s="31"/>
      <c r="H226" s="31"/>
      <c r="I226" s="31"/>
      <c r="J226" s="35"/>
      <c r="K226" s="35"/>
    </row>
    <row r="227" spans="2:11" ht="14.45" x14ac:dyDescent="0.35">
      <c r="B227" t="s">
        <v>265</v>
      </c>
      <c r="G227" s="31"/>
      <c r="H227" s="31"/>
      <c r="I227" s="31"/>
      <c r="J227" s="35"/>
      <c r="K227" s="35"/>
    </row>
    <row r="228" spans="2:11" ht="14.45" x14ac:dyDescent="0.35">
      <c r="B228" t="s">
        <v>266</v>
      </c>
      <c r="G228" s="31"/>
      <c r="H228" s="31"/>
      <c r="I228" s="31"/>
      <c r="J228" s="35"/>
      <c r="K228" s="35"/>
    </row>
    <row r="229" spans="2:11" ht="14.45" x14ac:dyDescent="0.35">
      <c r="B229" t="s">
        <v>267</v>
      </c>
      <c r="G229" s="31"/>
      <c r="H229" s="31"/>
      <c r="I229" s="31"/>
      <c r="J229" s="35"/>
      <c r="K229" s="35"/>
    </row>
    <row r="230" spans="2:11" ht="14.45" x14ac:dyDescent="0.35">
      <c r="B230" t="s">
        <v>268</v>
      </c>
      <c r="G230" s="31"/>
      <c r="H230" s="31"/>
      <c r="I230" s="31"/>
      <c r="J230" s="35"/>
      <c r="K230" s="35"/>
    </row>
    <row r="231" spans="2:11" ht="14.45" x14ac:dyDescent="0.35">
      <c r="B231" t="s">
        <v>269</v>
      </c>
      <c r="G231" s="31"/>
      <c r="H231" s="31"/>
      <c r="I231" s="31"/>
      <c r="J231" s="35"/>
      <c r="K231" s="35"/>
    </row>
    <row r="232" spans="2:11" ht="14.45" x14ac:dyDescent="0.35">
      <c r="B232" t="s">
        <v>270</v>
      </c>
      <c r="G232" s="31"/>
      <c r="H232" s="31"/>
      <c r="I232" s="31"/>
      <c r="J232" s="35"/>
      <c r="K232" s="35"/>
    </row>
    <row r="233" spans="2:11" ht="14.45" x14ac:dyDescent="0.35">
      <c r="B233" t="s">
        <v>271</v>
      </c>
      <c r="G233" s="31"/>
      <c r="H233" s="31"/>
      <c r="I233" s="31"/>
      <c r="J233" s="35"/>
      <c r="K233" s="35"/>
    </row>
    <row r="234" spans="2:11" ht="14.45" x14ac:dyDescent="0.35">
      <c r="B234" t="s">
        <v>272</v>
      </c>
      <c r="G234" s="31"/>
      <c r="H234" s="31"/>
      <c r="I234" s="31"/>
      <c r="J234" s="35"/>
      <c r="K234" s="35"/>
    </row>
    <row r="235" spans="2:11" ht="14.45" x14ac:dyDescent="0.35">
      <c r="B235" t="s">
        <v>273</v>
      </c>
      <c r="G235" s="31"/>
      <c r="H235" s="31"/>
      <c r="I235" s="31"/>
      <c r="J235" s="35"/>
      <c r="K235" s="35"/>
    </row>
    <row r="236" spans="2:11" ht="14.45" x14ac:dyDescent="0.35">
      <c r="B236" t="s">
        <v>274</v>
      </c>
      <c r="G236" s="31"/>
      <c r="H236" s="31"/>
      <c r="I236" s="31"/>
      <c r="J236" s="35"/>
      <c r="K236" s="35"/>
    </row>
    <row r="237" spans="2:11" ht="14.45" x14ac:dyDescent="0.35">
      <c r="B237" t="s">
        <v>275</v>
      </c>
      <c r="G237" s="31"/>
      <c r="H237" s="31"/>
      <c r="I237" s="31"/>
      <c r="J237" s="35"/>
      <c r="K237" s="35"/>
    </row>
    <row r="238" spans="2:11" ht="14.45" x14ac:dyDescent="0.35">
      <c r="B238" t="s">
        <v>276</v>
      </c>
      <c r="G238" s="31"/>
      <c r="H238" s="31"/>
      <c r="I238" s="31"/>
      <c r="J238" s="35"/>
      <c r="K238" s="35"/>
    </row>
    <row r="239" spans="2:11" ht="14.45" x14ac:dyDescent="0.35">
      <c r="B239" t="s">
        <v>277</v>
      </c>
      <c r="G239" s="31"/>
      <c r="H239" s="31"/>
      <c r="I239" s="31"/>
      <c r="J239" s="35"/>
      <c r="K239" s="35"/>
    </row>
    <row r="240" spans="2:11" ht="14.45" x14ac:dyDescent="0.35">
      <c r="B240" t="s">
        <v>278</v>
      </c>
      <c r="G240" s="31"/>
      <c r="H240" s="31"/>
      <c r="I240" s="31"/>
      <c r="J240" s="35"/>
      <c r="K240" s="35"/>
    </row>
    <row r="241" spans="2:11" ht="14.45" x14ac:dyDescent="0.35">
      <c r="B241" t="s">
        <v>279</v>
      </c>
      <c r="G241" s="31"/>
      <c r="H241" s="31"/>
      <c r="I241" s="31"/>
      <c r="J241" s="35"/>
      <c r="K241" s="35"/>
    </row>
    <row r="242" spans="2:11" ht="14.45" x14ac:dyDescent="0.35">
      <c r="B242" t="s">
        <v>280</v>
      </c>
      <c r="G242" s="31"/>
      <c r="H242" s="31"/>
      <c r="I242" s="31"/>
      <c r="J242" s="35"/>
      <c r="K242" s="35"/>
    </row>
    <row r="243" spans="2:11" ht="14.45" x14ac:dyDescent="0.35">
      <c r="B243" t="s">
        <v>281</v>
      </c>
      <c r="G243" s="31"/>
      <c r="H243" s="31"/>
      <c r="I243" s="31"/>
      <c r="J243" s="35"/>
      <c r="K243" s="35"/>
    </row>
    <row r="244" spans="2:11" ht="14.45" x14ac:dyDescent="0.35">
      <c r="B244" t="s">
        <v>282</v>
      </c>
      <c r="G244" s="31"/>
      <c r="H244" s="31"/>
      <c r="I244" s="31"/>
      <c r="J244" s="35"/>
      <c r="K244" s="35"/>
    </row>
    <row r="245" spans="2:11" ht="14.45" x14ac:dyDescent="0.35">
      <c r="B245" t="s">
        <v>283</v>
      </c>
      <c r="G245" s="31"/>
      <c r="H245" s="31"/>
      <c r="I245" s="31"/>
      <c r="J245" s="35"/>
      <c r="K245" s="35"/>
    </row>
    <row r="246" spans="2:11" ht="14.45" x14ac:dyDescent="0.35">
      <c r="B246" t="s">
        <v>284</v>
      </c>
      <c r="G246" s="31"/>
      <c r="H246" s="31"/>
      <c r="I246" s="31"/>
      <c r="J246" s="35"/>
      <c r="K246" s="35"/>
    </row>
    <row r="247" spans="2:11" ht="14.45" x14ac:dyDescent="0.35">
      <c r="B247" t="s">
        <v>285</v>
      </c>
      <c r="G247" s="31"/>
      <c r="H247" s="31"/>
      <c r="I247" s="31"/>
      <c r="J247" s="35"/>
      <c r="K247" s="35"/>
    </row>
    <row r="248" spans="2:11" ht="14.45" x14ac:dyDescent="0.35">
      <c r="B248" t="s">
        <v>286</v>
      </c>
      <c r="G248" s="31"/>
      <c r="H248" s="31"/>
      <c r="I248" s="31"/>
      <c r="J248" s="35"/>
      <c r="K248" s="35"/>
    </row>
    <row r="249" spans="2:11" ht="14.45" x14ac:dyDescent="0.35">
      <c r="B249" t="s">
        <v>287</v>
      </c>
      <c r="G249" s="31"/>
      <c r="H249" s="31"/>
      <c r="I249" s="31"/>
      <c r="J249" s="35"/>
      <c r="K249" s="35"/>
    </row>
    <row r="250" spans="2:11" ht="14.45" x14ac:dyDescent="0.35">
      <c r="B250" t="s">
        <v>288</v>
      </c>
      <c r="G250" s="31"/>
      <c r="H250" s="31"/>
      <c r="I250" s="31"/>
      <c r="J250" s="35"/>
      <c r="K250" s="35"/>
    </row>
    <row r="251" spans="2:11" ht="14.45" x14ac:dyDescent="0.35">
      <c r="B251" t="s">
        <v>289</v>
      </c>
      <c r="G251" s="31"/>
      <c r="H251" s="31"/>
      <c r="I251" s="31"/>
      <c r="J251" s="35"/>
      <c r="K251" s="35"/>
    </row>
    <row r="252" spans="2:11" ht="14.45" x14ac:dyDescent="0.35">
      <c r="B252" t="s">
        <v>290</v>
      </c>
      <c r="G252" s="31"/>
      <c r="H252" s="31"/>
      <c r="I252" s="31"/>
      <c r="J252" s="35"/>
      <c r="K252" s="35"/>
    </row>
    <row r="253" spans="2:11" ht="14.45" x14ac:dyDescent="0.35">
      <c r="B253" t="s">
        <v>291</v>
      </c>
      <c r="G253" s="31"/>
      <c r="H253" s="31"/>
      <c r="I253" s="31"/>
      <c r="J253" s="35"/>
      <c r="K253" s="35"/>
    </row>
    <row r="254" spans="2:11" ht="14.45" x14ac:dyDescent="0.35">
      <c r="B254" t="s">
        <v>292</v>
      </c>
      <c r="G254" s="31"/>
      <c r="H254" s="31"/>
      <c r="I254" s="31"/>
      <c r="J254" s="35"/>
      <c r="K254" s="35"/>
    </row>
    <row r="255" spans="2:11" ht="14.45" x14ac:dyDescent="0.35">
      <c r="B255" t="s">
        <v>293</v>
      </c>
      <c r="G255" s="31"/>
      <c r="H255" s="31"/>
      <c r="I255" s="31"/>
      <c r="J255" s="35"/>
      <c r="K255" s="35"/>
    </row>
    <row r="256" spans="2:11" ht="14.45" x14ac:dyDescent="0.35">
      <c r="B256" t="s">
        <v>294</v>
      </c>
      <c r="G256" s="31"/>
      <c r="H256" s="31"/>
      <c r="I256" s="31"/>
      <c r="J256" s="35"/>
      <c r="K256" s="35"/>
    </row>
    <row r="257" spans="2:11" ht="14.45" x14ac:dyDescent="0.35">
      <c r="B257" t="s">
        <v>295</v>
      </c>
      <c r="G257" s="31"/>
      <c r="H257" s="31"/>
      <c r="I257" s="31"/>
      <c r="J257" s="35"/>
      <c r="K257" s="35"/>
    </row>
    <row r="258" spans="2:11" ht="14.45" x14ac:dyDescent="0.35">
      <c r="B258" t="s">
        <v>296</v>
      </c>
      <c r="G258" s="31"/>
      <c r="H258" s="31"/>
      <c r="I258" s="31"/>
      <c r="J258" s="35"/>
      <c r="K258" s="35"/>
    </row>
    <row r="259" spans="2:11" ht="14.45" x14ac:dyDescent="0.35">
      <c r="B259" t="s">
        <v>297</v>
      </c>
      <c r="G259" s="31"/>
      <c r="H259" s="31"/>
      <c r="I259" s="31"/>
      <c r="J259" s="35"/>
      <c r="K259" s="35"/>
    </row>
    <row r="260" spans="2:11" ht="14.45" x14ac:dyDescent="0.35">
      <c r="B260" t="s">
        <v>298</v>
      </c>
      <c r="G260" s="31"/>
      <c r="H260" s="31"/>
      <c r="I260" s="31"/>
      <c r="J260" s="35"/>
      <c r="K260" s="35"/>
    </row>
    <row r="261" spans="2:11" ht="14.45" x14ac:dyDescent="0.35">
      <c r="B261" t="s">
        <v>299</v>
      </c>
      <c r="G261" s="31"/>
      <c r="H261" s="31"/>
      <c r="I261" s="31"/>
      <c r="J261" s="35"/>
      <c r="K261" s="35"/>
    </row>
    <row r="262" spans="2:11" ht="14.45" x14ac:dyDescent="0.35">
      <c r="B262" t="s">
        <v>300</v>
      </c>
      <c r="G262" s="31"/>
      <c r="H262" s="31"/>
      <c r="I262" s="31"/>
      <c r="J262" s="35"/>
      <c r="K262" s="35"/>
    </row>
    <row r="263" spans="2:11" ht="14.45" x14ac:dyDescent="0.35">
      <c r="B263" t="s">
        <v>301</v>
      </c>
      <c r="G263" s="31"/>
      <c r="H263" s="31"/>
      <c r="I263" s="31"/>
      <c r="J263" s="35"/>
      <c r="K263" s="35"/>
    </row>
    <row r="264" spans="2:11" ht="14.45" x14ac:dyDescent="0.35">
      <c r="B264" t="s">
        <v>302</v>
      </c>
      <c r="G264" s="31"/>
      <c r="H264" s="31"/>
      <c r="I264" s="31"/>
      <c r="J264" s="35"/>
      <c r="K264" s="35"/>
    </row>
    <row r="265" spans="2:11" ht="14.45" x14ac:dyDescent="0.35">
      <c r="B265" t="s">
        <v>303</v>
      </c>
      <c r="G265" s="31"/>
      <c r="H265" s="31"/>
      <c r="I265" s="31"/>
      <c r="J265" s="35"/>
      <c r="K265" s="35"/>
    </row>
    <row r="266" spans="2:11" ht="14.45" x14ac:dyDescent="0.35">
      <c r="B266" t="s">
        <v>304</v>
      </c>
      <c r="G266" s="31"/>
      <c r="H266" s="31"/>
      <c r="I266" s="31"/>
      <c r="J266" s="35"/>
      <c r="K266" s="35"/>
    </row>
    <row r="267" spans="2:11" ht="14.45" x14ac:dyDescent="0.35">
      <c r="B267" t="s">
        <v>305</v>
      </c>
      <c r="G267" s="31"/>
      <c r="H267" s="31"/>
      <c r="I267" s="31"/>
      <c r="J267" s="35"/>
      <c r="K267" s="35"/>
    </row>
    <row r="268" spans="2:11" ht="14.45" x14ac:dyDescent="0.35">
      <c r="B268" t="s">
        <v>306</v>
      </c>
      <c r="G268" s="31"/>
      <c r="H268" s="31"/>
      <c r="I268" s="31"/>
      <c r="J268" s="35"/>
      <c r="K268" s="35"/>
    </row>
    <row r="269" spans="2:11" ht="14.45" x14ac:dyDescent="0.35">
      <c r="B269" t="s">
        <v>307</v>
      </c>
      <c r="G269" s="31"/>
      <c r="H269" s="31"/>
      <c r="I269" s="31"/>
      <c r="J269" s="35"/>
      <c r="K269" s="35"/>
    </row>
    <row r="270" spans="2:11" ht="14.45" x14ac:dyDescent="0.35">
      <c r="B270" t="s">
        <v>308</v>
      </c>
      <c r="G270" s="31"/>
      <c r="H270" s="31"/>
      <c r="I270" s="31"/>
      <c r="J270" s="35"/>
      <c r="K270" s="35"/>
    </row>
    <row r="271" spans="2:11" ht="14.45" x14ac:dyDescent="0.35">
      <c r="B271" t="s">
        <v>309</v>
      </c>
      <c r="G271" s="31"/>
      <c r="H271" s="31"/>
      <c r="I271" s="31"/>
      <c r="J271" s="35"/>
      <c r="K271" s="35"/>
    </row>
    <row r="272" spans="2:11" ht="14.45" x14ac:dyDescent="0.35">
      <c r="B272" t="s">
        <v>310</v>
      </c>
      <c r="G272" s="31"/>
      <c r="H272" s="31"/>
      <c r="I272" s="31"/>
      <c r="J272" s="35"/>
      <c r="K272" s="35"/>
    </row>
    <row r="273" spans="2:11" ht="14.45" x14ac:dyDescent="0.35">
      <c r="B273" t="s">
        <v>311</v>
      </c>
      <c r="G273" s="31"/>
      <c r="H273" s="31"/>
      <c r="I273" s="31"/>
      <c r="J273" s="35"/>
      <c r="K273" s="35"/>
    </row>
    <row r="274" spans="2:11" ht="14.45" x14ac:dyDescent="0.35">
      <c r="B274" t="s">
        <v>312</v>
      </c>
      <c r="G274" s="31"/>
      <c r="H274" s="31"/>
      <c r="I274" s="31"/>
      <c r="J274" s="35"/>
      <c r="K274" s="35"/>
    </row>
    <row r="275" spans="2:11" ht="14.45" x14ac:dyDescent="0.35">
      <c r="B275" t="s">
        <v>313</v>
      </c>
      <c r="G275" s="31"/>
      <c r="H275" s="31"/>
      <c r="I275" s="31"/>
      <c r="J275" s="35"/>
      <c r="K275" s="35"/>
    </row>
    <row r="276" spans="2:11" ht="14.45" x14ac:dyDescent="0.35">
      <c r="B276" t="s">
        <v>314</v>
      </c>
      <c r="G276" s="31"/>
      <c r="H276" s="31"/>
      <c r="I276" s="31"/>
      <c r="J276" s="35"/>
      <c r="K276" s="35"/>
    </row>
    <row r="277" spans="2:11" ht="14.45" x14ac:dyDescent="0.35">
      <c r="B277" t="s">
        <v>315</v>
      </c>
      <c r="G277" s="31"/>
      <c r="H277" s="31"/>
      <c r="I277" s="31"/>
      <c r="J277" s="35"/>
      <c r="K277" s="35"/>
    </row>
    <row r="278" spans="2:11" ht="14.45" x14ac:dyDescent="0.35">
      <c r="B278" t="s">
        <v>316</v>
      </c>
      <c r="G278" s="31"/>
      <c r="H278" s="31"/>
      <c r="I278" s="31"/>
      <c r="J278" s="35"/>
      <c r="K278" s="35"/>
    </row>
    <row r="279" spans="2:11" ht="14.45" x14ac:dyDescent="0.35">
      <c r="B279" t="s">
        <v>317</v>
      </c>
      <c r="G279" s="31"/>
      <c r="H279" s="31"/>
      <c r="I279" s="31"/>
      <c r="J279" s="35"/>
      <c r="K279" s="35"/>
    </row>
    <row r="280" spans="2:11" ht="14.45" x14ac:dyDescent="0.35">
      <c r="B280" t="s">
        <v>318</v>
      </c>
      <c r="G280" s="31"/>
      <c r="H280" s="31"/>
      <c r="I280" s="31"/>
      <c r="J280" s="35"/>
      <c r="K280" s="35"/>
    </row>
    <row r="281" spans="2:11" ht="14.45" x14ac:dyDescent="0.35">
      <c r="B281" t="s">
        <v>319</v>
      </c>
      <c r="G281" s="31"/>
      <c r="H281" s="31"/>
      <c r="I281" s="31"/>
      <c r="J281" s="35"/>
      <c r="K281" s="35"/>
    </row>
    <row r="282" spans="2:11" ht="14.45" x14ac:dyDescent="0.35">
      <c r="B282" t="s">
        <v>320</v>
      </c>
      <c r="G282" s="31"/>
      <c r="H282" s="31"/>
      <c r="I282" s="31"/>
      <c r="J282" s="35"/>
      <c r="K282" s="35"/>
    </row>
    <row r="283" spans="2:11" ht="14.45" x14ac:dyDescent="0.35">
      <c r="B283" t="s">
        <v>321</v>
      </c>
      <c r="G283" s="31"/>
      <c r="H283" s="31"/>
      <c r="I283" s="31"/>
      <c r="J283" s="35"/>
      <c r="K283" s="35"/>
    </row>
    <row r="284" spans="2:11" ht="14.45" x14ac:dyDescent="0.35">
      <c r="B284" t="s">
        <v>322</v>
      </c>
      <c r="G284" s="31"/>
      <c r="H284" s="31"/>
      <c r="I284" s="31"/>
      <c r="J284" s="35"/>
      <c r="K284" s="35"/>
    </row>
    <row r="285" spans="2:11" ht="14.45" x14ac:dyDescent="0.35">
      <c r="B285" t="s">
        <v>323</v>
      </c>
      <c r="G285" s="31"/>
      <c r="H285" s="31"/>
      <c r="I285" s="31"/>
      <c r="J285" s="35"/>
      <c r="K285" s="35"/>
    </row>
    <row r="286" spans="2:11" ht="14.45" x14ac:dyDescent="0.35">
      <c r="B286" t="s">
        <v>324</v>
      </c>
      <c r="G286" s="31"/>
      <c r="H286" s="31"/>
      <c r="I286" s="31"/>
      <c r="J286" s="35"/>
      <c r="K286" s="35"/>
    </row>
    <row r="287" spans="2:11" ht="14.45" x14ac:dyDescent="0.35">
      <c r="B287" t="s">
        <v>325</v>
      </c>
      <c r="G287" s="31"/>
      <c r="H287" s="31"/>
      <c r="I287" s="31"/>
      <c r="J287" s="35"/>
      <c r="K287" s="35"/>
    </row>
    <row r="288" spans="2:11" ht="14.45" x14ac:dyDescent="0.35">
      <c r="B288" t="s">
        <v>326</v>
      </c>
      <c r="G288" s="31"/>
      <c r="H288" s="31"/>
      <c r="I288" s="31"/>
      <c r="J288" s="35"/>
      <c r="K288" s="35"/>
    </row>
    <row r="289" spans="2:11" ht="14.45" x14ac:dyDescent="0.35">
      <c r="B289" t="s">
        <v>327</v>
      </c>
      <c r="G289" s="31"/>
      <c r="H289" s="31"/>
      <c r="I289" s="31"/>
      <c r="J289" s="35"/>
      <c r="K289" s="35"/>
    </row>
    <row r="290" spans="2:11" ht="14.45" x14ac:dyDescent="0.35">
      <c r="B290" t="s">
        <v>328</v>
      </c>
      <c r="G290" s="31"/>
      <c r="H290" s="31"/>
      <c r="I290" s="31"/>
      <c r="J290" s="35"/>
      <c r="K290" s="35"/>
    </row>
    <row r="291" spans="2:11" ht="14.45" x14ac:dyDescent="0.35">
      <c r="B291" t="s">
        <v>329</v>
      </c>
      <c r="G291" s="31"/>
      <c r="H291" s="31"/>
      <c r="I291" s="31"/>
      <c r="J291" s="35"/>
      <c r="K291" s="35"/>
    </row>
    <row r="292" spans="2:11" ht="14.45" x14ac:dyDescent="0.35">
      <c r="B292" t="s">
        <v>330</v>
      </c>
      <c r="G292" s="31"/>
      <c r="H292" s="31"/>
      <c r="I292" s="31"/>
      <c r="J292" s="35"/>
      <c r="K292" s="35"/>
    </row>
    <row r="293" spans="2:11" ht="14.45" x14ac:dyDescent="0.35">
      <c r="B293" t="s">
        <v>331</v>
      </c>
      <c r="G293" s="31"/>
      <c r="H293" s="31"/>
      <c r="I293" s="31"/>
      <c r="J293" s="35"/>
      <c r="K293" s="35"/>
    </row>
    <row r="294" spans="2:11" ht="14.45" x14ac:dyDescent="0.35">
      <c r="B294" t="s">
        <v>332</v>
      </c>
      <c r="G294" s="31"/>
      <c r="H294" s="31"/>
      <c r="I294" s="31"/>
      <c r="J294" s="35"/>
      <c r="K294" s="35"/>
    </row>
    <row r="295" spans="2:11" ht="14.45" x14ac:dyDescent="0.35">
      <c r="B295" t="s">
        <v>333</v>
      </c>
      <c r="G295" s="31"/>
      <c r="H295" s="31"/>
      <c r="I295" s="31"/>
      <c r="J295" s="35"/>
      <c r="K295" s="35"/>
    </row>
    <row r="296" spans="2:11" ht="14.45" x14ac:dyDescent="0.35">
      <c r="B296" t="s">
        <v>334</v>
      </c>
      <c r="G296" s="31"/>
      <c r="H296" s="31"/>
      <c r="I296" s="31"/>
      <c r="J296" s="35"/>
      <c r="K296" s="35"/>
    </row>
    <row r="297" spans="2:11" ht="14.45" x14ac:dyDescent="0.35">
      <c r="B297" t="s">
        <v>335</v>
      </c>
      <c r="G297" s="31"/>
      <c r="H297" s="31"/>
      <c r="I297" s="31"/>
      <c r="J297" s="35"/>
      <c r="K297" s="35"/>
    </row>
    <row r="298" spans="2:11" ht="14.45" x14ac:dyDescent="0.35">
      <c r="B298" t="s">
        <v>336</v>
      </c>
      <c r="G298" s="31"/>
      <c r="H298" s="31"/>
      <c r="I298" s="32"/>
      <c r="J298" s="35"/>
      <c r="K298" s="35"/>
    </row>
    <row r="299" spans="2:11" ht="14.45" x14ac:dyDescent="0.35">
      <c r="B299" t="s">
        <v>337</v>
      </c>
      <c r="G299" s="31"/>
      <c r="H299" s="31"/>
      <c r="I299" s="31"/>
      <c r="J299" s="35"/>
      <c r="K299" s="35"/>
    </row>
    <row r="300" spans="2:11" ht="14.45" x14ac:dyDescent="0.35">
      <c r="B300" t="s">
        <v>338</v>
      </c>
      <c r="G300" s="31"/>
      <c r="H300" s="31"/>
      <c r="I300" s="31"/>
      <c r="J300" s="35"/>
      <c r="K300" s="35"/>
    </row>
    <row r="301" spans="2:11" ht="14.45" x14ac:dyDescent="0.35">
      <c r="B301" t="s">
        <v>339</v>
      </c>
      <c r="G301" s="31"/>
      <c r="H301" s="31"/>
      <c r="I301" s="31"/>
      <c r="J301" s="35"/>
      <c r="K301" s="35"/>
    </row>
    <row r="302" spans="2:11" ht="14.45" x14ac:dyDescent="0.35">
      <c r="B302" t="s">
        <v>340</v>
      </c>
      <c r="G302" s="31"/>
      <c r="H302" s="31"/>
      <c r="I302" s="31"/>
      <c r="J302" s="35"/>
      <c r="K302" s="35"/>
    </row>
    <row r="303" spans="2:11" ht="14.45" x14ac:dyDescent="0.35">
      <c r="B303" t="s">
        <v>341</v>
      </c>
      <c r="G303" s="31"/>
      <c r="H303" s="31"/>
      <c r="I303" s="31"/>
      <c r="J303" s="35"/>
      <c r="K303" s="35"/>
    </row>
    <row r="304" spans="2:11" ht="14.45" x14ac:dyDescent="0.35">
      <c r="B304" t="s">
        <v>342</v>
      </c>
      <c r="G304" s="31"/>
      <c r="H304" s="31"/>
      <c r="I304" s="31"/>
      <c r="J304" s="35"/>
      <c r="K304" s="35"/>
    </row>
    <row r="305" spans="2:11" ht="14.45" x14ac:dyDescent="0.35">
      <c r="B305" t="s">
        <v>343</v>
      </c>
      <c r="G305" s="31"/>
      <c r="H305" s="31"/>
      <c r="I305" s="31"/>
      <c r="J305" s="35"/>
      <c r="K305" s="35"/>
    </row>
    <row r="306" spans="2:11" ht="14.45" x14ac:dyDescent="0.35">
      <c r="B306" t="s">
        <v>344</v>
      </c>
      <c r="G306" s="31"/>
      <c r="H306" s="31"/>
      <c r="I306" s="31"/>
      <c r="J306" s="35"/>
      <c r="K306" s="35"/>
    </row>
    <row r="307" spans="2:11" ht="14.45" x14ac:dyDescent="0.35">
      <c r="B307" t="s">
        <v>345</v>
      </c>
      <c r="G307" s="31"/>
      <c r="H307" s="31"/>
      <c r="I307" s="31"/>
      <c r="J307" s="35"/>
      <c r="K307" s="35"/>
    </row>
    <row r="308" spans="2:11" ht="14.45" x14ac:dyDescent="0.35">
      <c r="B308" t="s">
        <v>346</v>
      </c>
      <c r="G308" s="31"/>
      <c r="H308" s="31"/>
      <c r="I308" s="31"/>
      <c r="J308" s="35"/>
      <c r="K308" s="35"/>
    </row>
    <row r="309" spans="2:11" ht="14.45" x14ac:dyDescent="0.35">
      <c r="B309" t="s">
        <v>347</v>
      </c>
      <c r="G309" s="31"/>
      <c r="H309" s="31"/>
      <c r="I309" s="31"/>
      <c r="J309" s="35"/>
      <c r="K309" s="35"/>
    </row>
    <row r="310" spans="2:11" ht="14.45" x14ac:dyDescent="0.35">
      <c r="B310" t="s">
        <v>348</v>
      </c>
      <c r="G310" s="31"/>
      <c r="H310" s="31"/>
      <c r="I310" s="31"/>
      <c r="J310" s="35"/>
      <c r="K310" s="35"/>
    </row>
    <row r="311" spans="2:11" ht="14.45" x14ac:dyDescent="0.35">
      <c r="B311" t="s">
        <v>349</v>
      </c>
      <c r="G311" s="31"/>
      <c r="H311" s="31"/>
      <c r="I311" s="31"/>
      <c r="J311" s="35"/>
      <c r="K311" s="35"/>
    </row>
    <row r="312" spans="2:11" ht="14.45" x14ac:dyDescent="0.35">
      <c r="B312" t="s">
        <v>350</v>
      </c>
      <c r="G312" s="31"/>
      <c r="H312" s="31"/>
      <c r="I312" s="31"/>
      <c r="J312" s="35"/>
      <c r="K312" s="35"/>
    </row>
    <row r="313" spans="2:11" ht="14.45" x14ac:dyDescent="0.35">
      <c r="B313" t="s">
        <v>351</v>
      </c>
      <c r="G313" s="31"/>
      <c r="H313" s="31"/>
      <c r="I313" s="31"/>
      <c r="J313" s="35"/>
      <c r="K313" s="35"/>
    </row>
    <row r="314" spans="2:11" ht="14.45" x14ac:dyDescent="0.35">
      <c r="B314" t="s">
        <v>352</v>
      </c>
      <c r="G314" s="31"/>
      <c r="H314" s="31"/>
      <c r="I314" s="31"/>
      <c r="J314" s="35"/>
      <c r="K314" s="35"/>
    </row>
    <row r="315" spans="2:11" ht="14.45" x14ac:dyDescent="0.35">
      <c r="B315" t="s">
        <v>353</v>
      </c>
      <c r="G315" s="31"/>
      <c r="H315" s="31"/>
      <c r="I315" s="31"/>
      <c r="J315" s="35"/>
      <c r="K315" s="35"/>
    </row>
    <row r="316" spans="2:11" ht="14.45" x14ac:dyDescent="0.35">
      <c r="B316" t="s">
        <v>354</v>
      </c>
      <c r="G316" s="31"/>
      <c r="H316" s="31"/>
      <c r="I316" s="31"/>
      <c r="J316" s="35"/>
      <c r="K316" s="35"/>
    </row>
    <row r="317" spans="2:11" ht="14.45" x14ac:dyDescent="0.35">
      <c r="B317" t="s">
        <v>355</v>
      </c>
      <c r="G317" s="31"/>
      <c r="H317" s="31"/>
      <c r="I317" s="31"/>
      <c r="J317" s="35"/>
      <c r="K317" s="35"/>
    </row>
    <row r="318" spans="2:11" ht="14.45" x14ac:dyDescent="0.35">
      <c r="B318" t="s">
        <v>356</v>
      </c>
      <c r="G318" s="31"/>
      <c r="H318" s="31"/>
      <c r="I318" s="31"/>
      <c r="J318" s="35"/>
      <c r="K318" s="35"/>
    </row>
    <row r="319" spans="2:11" ht="14.45" x14ac:dyDescent="0.35">
      <c r="B319" t="s">
        <v>357</v>
      </c>
      <c r="G319" s="31"/>
      <c r="H319" s="31"/>
      <c r="I319" s="31"/>
      <c r="J319" s="35"/>
      <c r="K319" s="35"/>
    </row>
    <row r="320" spans="2:11" ht="14.45" x14ac:dyDescent="0.35">
      <c r="B320" t="s">
        <v>358</v>
      </c>
      <c r="G320" s="31"/>
      <c r="H320" s="31"/>
      <c r="I320" s="31"/>
      <c r="J320" s="35"/>
      <c r="K320" s="35"/>
    </row>
    <row r="321" spans="2:11" ht="14.45" x14ac:dyDescent="0.35">
      <c r="B321" t="s">
        <v>359</v>
      </c>
      <c r="G321" s="31"/>
      <c r="H321" s="31"/>
      <c r="I321" s="31"/>
      <c r="J321" s="35"/>
      <c r="K321" s="35"/>
    </row>
    <row r="322" spans="2:11" ht="14.45" x14ac:dyDescent="0.35">
      <c r="B322" t="s">
        <v>360</v>
      </c>
      <c r="G322" s="31"/>
      <c r="H322" s="31"/>
      <c r="I322" s="31"/>
      <c r="J322" s="35"/>
      <c r="K322" s="35"/>
    </row>
    <row r="323" spans="2:11" ht="14.45" x14ac:dyDescent="0.35">
      <c r="B323" t="s">
        <v>361</v>
      </c>
      <c r="G323" s="31"/>
      <c r="H323" s="31"/>
      <c r="I323" s="31"/>
      <c r="J323" s="35"/>
      <c r="K323" s="35"/>
    </row>
    <row r="324" spans="2:11" ht="14.45" x14ac:dyDescent="0.35">
      <c r="B324" t="s">
        <v>362</v>
      </c>
      <c r="G324" s="31"/>
      <c r="H324" s="31"/>
      <c r="I324" s="31"/>
      <c r="J324" s="35"/>
      <c r="K324" s="35"/>
    </row>
    <row r="325" spans="2:11" ht="14.45" x14ac:dyDescent="0.35">
      <c r="B325" t="s">
        <v>363</v>
      </c>
      <c r="G325" s="31"/>
      <c r="H325" s="31"/>
      <c r="I325" s="31"/>
      <c r="J325" s="35"/>
      <c r="K325" s="35"/>
    </row>
    <row r="326" spans="2:11" ht="14.45" x14ac:dyDescent="0.35">
      <c r="B326" t="s">
        <v>364</v>
      </c>
      <c r="G326" s="31"/>
      <c r="H326" s="31"/>
      <c r="I326" s="31"/>
      <c r="J326" s="35"/>
      <c r="K326" s="35"/>
    </row>
    <row r="327" spans="2:11" ht="14.45" x14ac:dyDescent="0.35">
      <c r="B327" t="s">
        <v>365</v>
      </c>
      <c r="G327" s="31"/>
      <c r="H327" s="31"/>
      <c r="I327" s="31"/>
      <c r="J327" s="35"/>
      <c r="K327" s="35"/>
    </row>
    <row r="328" spans="2:11" ht="14.45" x14ac:dyDescent="0.35">
      <c r="B328" t="s">
        <v>366</v>
      </c>
      <c r="G328" s="31"/>
      <c r="H328" s="31"/>
      <c r="I328" s="31"/>
      <c r="J328" s="35"/>
      <c r="K328" s="35"/>
    </row>
    <row r="329" spans="2:11" ht="14.45" x14ac:dyDescent="0.35">
      <c r="B329" t="s">
        <v>367</v>
      </c>
      <c r="G329" s="31"/>
      <c r="H329" s="31"/>
      <c r="I329" s="31"/>
      <c r="J329" s="35"/>
      <c r="K329" s="35"/>
    </row>
    <row r="330" spans="2:11" ht="14.45" x14ac:dyDescent="0.35">
      <c r="B330" t="s">
        <v>368</v>
      </c>
      <c r="G330" s="31"/>
      <c r="H330" s="31"/>
      <c r="I330" s="31"/>
      <c r="J330" s="35"/>
      <c r="K330" s="35"/>
    </row>
    <row r="331" spans="2:11" ht="14.45" x14ac:dyDescent="0.35">
      <c r="B331" t="s">
        <v>369</v>
      </c>
      <c r="G331" s="31"/>
      <c r="H331" s="31"/>
      <c r="I331" s="31"/>
      <c r="J331" s="35"/>
      <c r="K331" s="35"/>
    </row>
    <row r="332" spans="2:11" ht="14.45" x14ac:dyDescent="0.35">
      <c r="B332" t="s">
        <v>370</v>
      </c>
      <c r="G332" s="31"/>
      <c r="H332" s="31"/>
      <c r="I332" s="31"/>
      <c r="J332" s="35"/>
      <c r="K332" s="35"/>
    </row>
    <row r="333" spans="2:11" ht="14.45" x14ac:dyDescent="0.35">
      <c r="B333" t="s">
        <v>371</v>
      </c>
      <c r="G333" s="31"/>
      <c r="H333" s="31"/>
      <c r="I333" s="31"/>
      <c r="J333" s="35"/>
      <c r="K333" s="35"/>
    </row>
    <row r="334" spans="2:11" ht="14.45" x14ac:dyDescent="0.35">
      <c r="B334" t="s">
        <v>372</v>
      </c>
      <c r="G334" s="31"/>
      <c r="H334" s="31"/>
      <c r="I334" s="31"/>
      <c r="J334" s="35"/>
      <c r="K334" s="35"/>
    </row>
    <row r="335" spans="2:11" ht="14.45" x14ac:dyDescent="0.35">
      <c r="B335" t="s">
        <v>373</v>
      </c>
      <c r="G335" s="31"/>
      <c r="H335" s="31"/>
      <c r="I335" s="31"/>
      <c r="J335" s="35"/>
      <c r="K335" s="35"/>
    </row>
    <row r="336" spans="2:11" ht="14.45" x14ac:dyDescent="0.35">
      <c r="B336" t="s">
        <v>374</v>
      </c>
      <c r="G336" s="31"/>
      <c r="H336" s="31"/>
      <c r="I336" s="31"/>
      <c r="J336" s="35"/>
      <c r="K336" s="35"/>
    </row>
    <row r="337" spans="2:11" ht="14.45" x14ac:dyDescent="0.35">
      <c r="B337" t="s">
        <v>375</v>
      </c>
      <c r="G337" s="31"/>
      <c r="H337" s="31"/>
      <c r="I337" s="31"/>
      <c r="J337" s="35"/>
      <c r="K337" s="35"/>
    </row>
    <row r="338" spans="2:11" ht="14.45" x14ac:dyDescent="0.35">
      <c r="B338" t="s">
        <v>376</v>
      </c>
      <c r="G338" s="31"/>
      <c r="H338" s="31"/>
      <c r="I338" s="31"/>
      <c r="J338" s="35"/>
      <c r="K338" s="35"/>
    </row>
    <row r="339" spans="2:11" ht="14.45" x14ac:dyDescent="0.35">
      <c r="B339" t="s">
        <v>377</v>
      </c>
      <c r="G339" s="31"/>
      <c r="H339" s="31"/>
      <c r="I339" s="31"/>
      <c r="J339" s="35"/>
      <c r="K339" s="35"/>
    </row>
    <row r="340" spans="2:11" ht="14.45" x14ac:dyDescent="0.35">
      <c r="B340" t="s">
        <v>378</v>
      </c>
      <c r="G340" s="31"/>
      <c r="H340" s="31"/>
      <c r="I340" s="31"/>
      <c r="J340" s="35"/>
      <c r="K340" s="35"/>
    </row>
    <row r="341" spans="2:11" ht="14.45" x14ac:dyDescent="0.35">
      <c r="B341" t="s">
        <v>379</v>
      </c>
      <c r="G341" s="31"/>
      <c r="H341" s="31"/>
      <c r="I341" s="31"/>
      <c r="J341" s="35"/>
      <c r="K341" s="35"/>
    </row>
    <row r="342" spans="2:11" ht="14.45" x14ac:dyDescent="0.35">
      <c r="B342" t="s">
        <v>380</v>
      </c>
      <c r="G342" s="31"/>
      <c r="H342" s="31"/>
      <c r="I342" s="31"/>
      <c r="J342" s="35"/>
      <c r="K342" s="35"/>
    </row>
    <row r="343" spans="2:11" ht="14.45" x14ac:dyDescent="0.35">
      <c r="B343" t="s">
        <v>381</v>
      </c>
      <c r="G343" s="31"/>
      <c r="H343" s="31"/>
      <c r="I343" s="31"/>
      <c r="J343" s="35"/>
      <c r="K343" s="35"/>
    </row>
    <row r="344" spans="2:11" ht="14.45" x14ac:dyDescent="0.35">
      <c r="B344" t="s">
        <v>382</v>
      </c>
      <c r="G344" s="31"/>
      <c r="H344" s="31"/>
      <c r="I344" s="31"/>
      <c r="J344" s="35"/>
      <c r="K344" s="35"/>
    </row>
    <row r="345" spans="2:11" ht="14.45" x14ac:dyDescent="0.35">
      <c r="B345" t="s">
        <v>383</v>
      </c>
      <c r="G345" s="31"/>
      <c r="H345" s="31"/>
      <c r="I345" s="31"/>
      <c r="J345" s="35"/>
      <c r="K345" s="35"/>
    </row>
    <row r="346" spans="2:11" ht="14.45" x14ac:dyDescent="0.35">
      <c r="B346" t="s">
        <v>384</v>
      </c>
      <c r="G346" s="31"/>
      <c r="H346" s="31"/>
      <c r="I346" s="31"/>
      <c r="J346" s="35"/>
      <c r="K346" s="35"/>
    </row>
    <row r="347" spans="2:11" ht="14.45" x14ac:dyDescent="0.35">
      <c r="B347" t="s">
        <v>385</v>
      </c>
      <c r="G347" s="31"/>
      <c r="H347" s="31"/>
      <c r="I347" s="31"/>
      <c r="J347" s="35"/>
      <c r="K347" s="35"/>
    </row>
    <row r="348" spans="2:11" ht="14.45" x14ac:dyDescent="0.35">
      <c r="B348" t="s">
        <v>386</v>
      </c>
      <c r="G348" s="31"/>
      <c r="H348" s="31"/>
      <c r="I348" s="31"/>
      <c r="J348" s="35"/>
      <c r="K348" s="35"/>
    </row>
    <row r="349" spans="2:11" ht="14.45" x14ac:dyDescent="0.35">
      <c r="B349" t="s">
        <v>387</v>
      </c>
      <c r="G349" s="31"/>
      <c r="H349" s="31"/>
      <c r="I349" s="31"/>
      <c r="J349" s="35"/>
      <c r="K349" s="35"/>
    </row>
    <row r="350" spans="2:11" ht="14.45" x14ac:dyDescent="0.35">
      <c r="B350" t="s">
        <v>388</v>
      </c>
      <c r="G350" s="31"/>
      <c r="H350" s="31"/>
      <c r="I350" s="31"/>
      <c r="J350" s="35"/>
      <c r="K350" s="35"/>
    </row>
    <row r="351" spans="2:11" ht="14.45" x14ac:dyDescent="0.35">
      <c r="B351" t="s">
        <v>389</v>
      </c>
      <c r="G351" s="31"/>
      <c r="H351" s="31"/>
      <c r="I351" s="31"/>
      <c r="J351" s="35"/>
      <c r="K351" s="35"/>
    </row>
    <row r="352" spans="2:11" ht="14.45" x14ac:dyDescent="0.35">
      <c r="B352" t="s">
        <v>390</v>
      </c>
      <c r="G352" s="31"/>
      <c r="H352" s="31"/>
      <c r="I352" s="31"/>
      <c r="J352" s="35"/>
      <c r="K352" s="35"/>
    </row>
    <row r="353" spans="2:11" ht="14.45" x14ac:dyDescent="0.35">
      <c r="B353" t="s">
        <v>391</v>
      </c>
      <c r="G353" s="31"/>
      <c r="H353" s="31"/>
      <c r="I353" s="31"/>
      <c r="J353" s="35"/>
      <c r="K353" s="35"/>
    </row>
    <row r="354" spans="2:11" ht="14.45" x14ac:dyDescent="0.35">
      <c r="B354" t="s">
        <v>392</v>
      </c>
      <c r="G354" s="31"/>
      <c r="H354" s="31"/>
      <c r="I354" s="31"/>
      <c r="J354" s="35"/>
      <c r="K354" s="35"/>
    </row>
    <row r="355" spans="2:11" ht="14.45" x14ac:dyDescent="0.35">
      <c r="B355" t="s">
        <v>393</v>
      </c>
      <c r="G355" s="31"/>
      <c r="H355" s="31"/>
      <c r="I355" s="31"/>
      <c r="J355" s="35"/>
      <c r="K355" s="35"/>
    </row>
    <row r="356" spans="2:11" ht="14.45" x14ac:dyDescent="0.35">
      <c r="B356" t="s">
        <v>394</v>
      </c>
      <c r="G356" s="31"/>
      <c r="H356" s="31"/>
      <c r="I356" s="31"/>
      <c r="J356" s="35"/>
      <c r="K356" s="35"/>
    </row>
    <row r="357" spans="2:11" ht="14.45" x14ac:dyDescent="0.35">
      <c r="B357" t="s">
        <v>395</v>
      </c>
      <c r="G357" s="31"/>
      <c r="H357" s="31"/>
      <c r="I357" s="31"/>
      <c r="J357" s="35"/>
      <c r="K357" s="35"/>
    </row>
    <row r="358" spans="2:11" ht="14.45" x14ac:dyDescent="0.35">
      <c r="B358" t="s">
        <v>396</v>
      </c>
      <c r="G358" s="31"/>
      <c r="H358" s="31"/>
      <c r="I358" s="31"/>
      <c r="J358" s="35"/>
      <c r="K358" s="35"/>
    </row>
    <row r="359" spans="2:11" ht="14.45" x14ac:dyDescent="0.35">
      <c r="B359" t="s">
        <v>397</v>
      </c>
      <c r="G359" s="31"/>
      <c r="H359" s="31"/>
      <c r="I359" s="31"/>
      <c r="J359" s="35"/>
      <c r="K359" s="35"/>
    </row>
    <row r="360" spans="2:11" ht="14.45" x14ac:dyDescent="0.35">
      <c r="B360" t="s">
        <v>398</v>
      </c>
      <c r="G360" s="31"/>
      <c r="H360" s="31"/>
      <c r="I360" s="31"/>
      <c r="J360" s="35"/>
      <c r="K360" s="35"/>
    </row>
    <row r="361" spans="2:11" ht="14.45" x14ac:dyDescent="0.35">
      <c r="B361" t="s">
        <v>399</v>
      </c>
      <c r="G361" s="31"/>
      <c r="H361" s="31"/>
      <c r="I361" s="31"/>
      <c r="J361" s="35"/>
      <c r="K361" s="35"/>
    </row>
    <row r="362" spans="2:11" ht="14.45" x14ac:dyDescent="0.35">
      <c r="B362" t="s">
        <v>400</v>
      </c>
      <c r="G362" s="31"/>
      <c r="H362" s="31"/>
      <c r="I362" s="31"/>
      <c r="J362" s="35"/>
      <c r="K362" s="35"/>
    </row>
    <row r="363" spans="2:11" ht="14.45" x14ac:dyDescent="0.35">
      <c r="B363" t="s">
        <v>401</v>
      </c>
      <c r="G363" s="31"/>
      <c r="H363" s="31"/>
      <c r="I363" s="31"/>
      <c r="J363" s="35"/>
      <c r="K363" s="35"/>
    </row>
    <row r="364" spans="2:11" ht="14.45" x14ac:dyDescent="0.35">
      <c r="B364" t="s">
        <v>402</v>
      </c>
      <c r="G364" s="31"/>
      <c r="H364" s="31"/>
      <c r="I364" s="31"/>
      <c r="J364" s="35"/>
      <c r="K364" s="35"/>
    </row>
    <row r="365" spans="2:11" ht="14.45" x14ac:dyDescent="0.35">
      <c r="B365" t="s">
        <v>403</v>
      </c>
      <c r="G365" s="31"/>
      <c r="H365" s="31"/>
      <c r="I365" s="31"/>
      <c r="J365" s="35"/>
      <c r="K365" s="35"/>
    </row>
    <row r="366" spans="2:11" ht="14.45" x14ac:dyDescent="0.35">
      <c r="B366" t="s">
        <v>404</v>
      </c>
      <c r="G366" s="31"/>
      <c r="H366" s="31"/>
      <c r="I366" s="31"/>
      <c r="J366" s="35"/>
      <c r="K366" s="35"/>
    </row>
    <row r="367" spans="2:11" ht="14.45" x14ac:dyDescent="0.35">
      <c r="B367" t="s">
        <v>405</v>
      </c>
      <c r="G367" s="31"/>
      <c r="H367" s="31"/>
      <c r="I367" s="31"/>
      <c r="J367" s="35"/>
      <c r="K367" s="35"/>
    </row>
    <row r="368" spans="2:11" ht="14.45" x14ac:dyDescent="0.35">
      <c r="B368" t="s">
        <v>406</v>
      </c>
      <c r="G368" s="31"/>
      <c r="H368" s="31"/>
      <c r="I368" s="31"/>
      <c r="J368" s="35"/>
      <c r="K368" s="35"/>
    </row>
    <row r="369" spans="2:11" ht="14.45" x14ac:dyDescent="0.35">
      <c r="B369" t="s">
        <v>407</v>
      </c>
      <c r="G369" s="31"/>
      <c r="H369" s="31"/>
      <c r="I369" s="31"/>
      <c r="J369" s="35"/>
      <c r="K369" s="35"/>
    </row>
    <row r="370" spans="2:11" ht="14.45" x14ac:dyDescent="0.35">
      <c r="B370" t="s">
        <v>408</v>
      </c>
      <c r="G370" s="31"/>
      <c r="H370" s="31"/>
      <c r="I370" s="31"/>
      <c r="J370" s="35"/>
      <c r="K370" s="35"/>
    </row>
    <row r="371" spans="2:11" ht="14.45" x14ac:dyDescent="0.35">
      <c r="B371" t="s">
        <v>409</v>
      </c>
      <c r="G371" s="31"/>
      <c r="H371" s="31"/>
      <c r="I371" s="31"/>
      <c r="J371" s="35"/>
      <c r="K371" s="35"/>
    </row>
    <row r="372" spans="2:11" ht="14.45" x14ac:dyDescent="0.35">
      <c r="B372" t="s">
        <v>410</v>
      </c>
      <c r="G372" s="31"/>
      <c r="H372" s="31"/>
      <c r="I372" s="31"/>
      <c r="J372" s="35"/>
      <c r="K372" s="35"/>
    </row>
    <row r="373" spans="2:11" ht="14.45" x14ac:dyDescent="0.35">
      <c r="B373" t="s">
        <v>411</v>
      </c>
      <c r="G373" s="31"/>
      <c r="H373" s="31"/>
      <c r="I373" s="31"/>
      <c r="J373" s="35"/>
      <c r="K373" s="35"/>
    </row>
    <row r="374" spans="2:11" ht="14.45" x14ac:dyDescent="0.35">
      <c r="B374" t="s">
        <v>412</v>
      </c>
      <c r="G374" s="31"/>
      <c r="H374" s="31"/>
      <c r="I374" s="31"/>
      <c r="J374" s="35"/>
      <c r="K374" s="35"/>
    </row>
    <row r="375" spans="2:11" ht="14.45" x14ac:dyDescent="0.35">
      <c r="B375" t="s">
        <v>413</v>
      </c>
      <c r="G375" s="31"/>
      <c r="H375" s="31"/>
      <c r="I375" s="31"/>
      <c r="J375" s="35"/>
      <c r="K375" s="35"/>
    </row>
    <row r="376" spans="2:11" ht="14.45" x14ac:dyDescent="0.35">
      <c r="B376" t="s">
        <v>414</v>
      </c>
      <c r="G376" s="31"/>
      <c r="H376" s="31"/>
      <c r="I376" s="31"/>
      <c r="J376" s="35"/>
      <c r="K376" s="35"/>
    </row>
    <row r="377" spans="2:11" ht="14.45" x14ac:dyDescent="0.35">
      <c r="B377" t="s">
        <v>415</v>
      </c>
      <c r="G377" s="31"/>
      <c r="H377" s="31"/>
      <c r="I377" s="31"/>
      <c r="J377" s="35"/>
      <c r="K377" s="35"/>
    </row>
    <row r="378" spans="2:11" ht="14.45" x14ac:dyDescent="0.35">
      <c r="B378" t="s">
        <v>416</v>
      </c>
      <c r="G378" s="31"/>
      <c r="H378" s="31"/>
      <c r="I378" s="31"/>
      <c r="J378" s="35"/>
      <c r="K378" s="35"/>
    </row>
    <row r="379" spans="2:11" ht="14.45" x14ac:dyDescent="0.35">
      <c r="B379" t="s">
        <v>417</v>
      </c>
      <c r="G379" s="31"/>
      <c r="H379" s="31"/>
      <c r="I379" s="31"/>
      <c r="J379" s="35"/>
      <c r="K379" s="35"/>
    </row>
    <row r="380" spans="2:11" ht="14.45" x14ac:dyDescent="0.35">
      <c r="B380" t="s">
        <v>418</v>
      </c>
      <c r="G380" s="31"/>
      <c r="H380" s="31"/>
      <c r="I380" s="31"/>
      <c r="J380" s="35"/>
      <c r="K380" s="35"/>
    </row>
    <row r="381" spans="2:11" ht="14.45" x14ac:dyDescent="0.35">
      <c r="B381" t="s">
        <v>419</v>
      </c>
      <c r="G381" s="31"/>
      <c r="H381" s="31"/>
      <c r="I381" s="31"/>
      <c r="J381" s="35"/>
      <c r="K381" s="35"/>
    </row>
    <row r="382" spans="2:11" ht="14.45" x14ac:dyDescent="0.35">
      <c r="B382" t="s">
        <v>420</v>
      </c>
      <c r="G382" s="31"/>
      <c r="H382" s="31"/>
      <c r="I382" s="31"/>
      <c r="J382" s="35"/>
      <c r="K382" s="35"/>
    </row>
    <row r="383" spans="2:11" ht="14.45" x14ac:dyDescent="0.35">
      <c r="B383" t="s">
        <v>421</v>
      </c>
      <c r="G383" s="31"/>
      <c r="H383" s="31"/>
      <c r="I383" s="31"/>
      <c r="J383" s="35"/>
      <c r="K383" s="35"/>
    </row>
    <row r="384" spans="2:11" ht="14.45" x14ac:dyDescent="0.35">
      <c r="B384" t="s">
        <v>422</v>
      </c>
      <c r="G384" s="31"/>
      <c r="H384" s="31"/>
      <c r="I384" s="31"/>
      <c r="J384" s="35"/>
      <c r="K384" s="35"/>
    </row>
    <row r="385" spans="2:11" ht="14.45" x14ac:dyDescent="0.35">
      <c r="B385" t="s">
        <v>423</v>
      </c>
      <c r="G385" s="31"/>
      <c r="H385" s="31"/>
      <c r="I385" s="31"/>
      <c r="J385" s="35"/>
      <c r="K385" s="35"/>
    </row>
    <row r="386" spans="2:11" ht="14.45" x14ac:dyDescent="0.35">
      <c r="B386" t="s">
        <v>424</v>
      </c>
      <c r="G386" s="31"/>
      <c r="H386" s="31"/>
      <c r="I386" s="31"/>
      <c r="J386" s="35"/>
      <c r="K386" s="35"/>
    </row>
    <row r="387" spans="2:11" ht="14.45" x14ac:dyDescent="0.35">
      <c r="B387" t="s">
        <v>425</v>
      </c>
      <c r="G387" s="31"/>
      <c r="H387" s="31"/>
      <c r="I387" s="31"/>
      <c r="J387" s="35"/>
      <c r="K387" s="35"/>
    </row>
    <row r="388" spans="2:11" ht="14.45" x14ac:dyDescent="0.35">
      <c r="B388" t="s">
        <v>426</v>
      </c>
      <c r="G388" s="31"/>
      <c r="H388" s="31"/>
      <c r="I388" s="31"/>
      <c r="J388" s="35"/>
      <c r="K388" s="35"/>
    </row>
    <row r="389" spans="2:11" ht="14.45" x14ac:dyDescent="0.35">
      <c r="B389" t="s">
        <v>427</v>
      </c>
      <c r="G389" s="31"/>
      <c r="H389" s="31"/>
      <c r="I389" s="31"/>
      <c r="J389" s="35"/>
      <c r="K389" s="35"/>
    </row>
    <row r="390" spans="2:11" ht="14.45" x14ac:dyDescent="0.35">
      <c r="B390" t="s">
        <v>428</v>
      </c>
      <c r="G390" s="31"/>
      <c r="H390" s="31"/>
      <c r="I390" s="31"/>
      <c r="J390" s="35"/>
      <c r="K390" s="35"/>
    </row>
    <row r="391" spans="2:11" ht="14.45" x14ac:dyDescent="0.35">
      <c r="B391" t="s">
        <v>429</v>
      </c>
      <c r="G391" s="31"/>
      <c r="H391" s="31"/>
      <c r="I391" s="31"/>
      <c r="J391" s="35"/>
      <c r="K391" s="35"/>
    </row>
    <row r="392" spans="2:11" ht="14.45" x14ac:dyDescent="0.35">
      <c r="B392" t="s">
        <v>430</v>
      </c>
      <c r="G392" s="31"/>
      <c r="H392" s="31"/>
      <c r="I392" s="31"/>
      <c r="J392" s="35"/>
      <c r="K392" s="35"/>
    </row>
    <row r="393" spans="2:11" ht="14.45" x14ac:dyDescent="0.35">
      <c r="B393" t="s">
        <v>431</v>
      </c>
      <c r="G393" s="31"/>
      <c r="H393" s="31"/>
      <c r="I393" s="31"/>
      <c r="J393" s="35"/>
      <c r="K393" s="35"/>
    </row>
    <row r="394" spans="2:11" ht="14.45" x14ac:dyDescent="0.35">
      <c r="B394" t="s">
        <v>432</v>
      </c>
      <c r="G394" s="31"/>
      <c r="H394" s="31"/>
      <c r="I394" s="31"/>
      <c r="J394" s="35"/>
      <c r="K394" s="35"/>
    </row>
    <row r="395" spans="2:11" ht="14.45" x14ac:dyDescent="0.35">
      <c r="B395" t="s">
        <v>433</v>
      </c>
      <c r="G395" s="31"/>
      <c r="H395" s="31"/>
      <c r="I395" s="31"/>
      <c r="J395" s="35"/>
      <c r="K395" s="35"/>
    </row>
    <row r="396" spans="2:11" ht="14.45" x14ac:dyDescent="0.35">
      <c r="B396" t="s">
        <v>434</v>
      </c>
      <c r="G396" s="31"/>
      <c r="H396" s="31"/>
      <c r="I396" s="31"/>
      <c r="J396" s="35"/>
      <c r="K396" s="35"/>
    </row>
    <row r="397" spans="2:11" ht="14.45" x14ac:dyDescent="0.35">
      <c r="B397" t="s">
        <v>435</v>
      </c>
      <c r="G397" s="31"/>
      <c r="H397" s="31"/>
      <c r="I397" s="31"/>
      <c r="J397" s="35"/>
      <c r="K397" s="35"/>
    </row>
    <row r="398" spans="2:11" ht="14.45" x14ac:dyDescent="0.35">
      <c r="B398" t="s">
        <v>436</v>
      </c>
      <c r="G398" s="31"/>
      <c r="H398" s="31"/>
      <c r="I398" s="31"/>
      <c r="J398" s="35"/>
      <c r="K398" s="35"/>
    </row>
    <row r="399" spans="2:11" ht="14.45" x14ac:dyDescent="0.35">
      <c r="B399" t="s">
        <v>437</v>
      </c>
      <c r="G399" s="31"/>
      <c r="H399" s="31"/>
      <c r="I399" s="31"/>
      <c r="J399" s="35"/>
      <c r="K399" s="35"/>
    </row>
    <row r="400" spans="2:11" ht="14.45" x14ac:dyDescent="0.35">
      <c r="B400" t="s">
        <v>438</v>
      </c>
      <c r="G400" s="31"/>
      <c r="H400" s="31"/>
      <c r="I400" s="31"/>
      <c r="J400" s="35"/>
      <c r="K400" s="35"/>
    </row>
    <row r="401" spans="2:11" ht="14.45" x14ac:dyDescent="0.35">
      <c r="B401" t="s">
        <v>439</v>
      </c>
      <c r="G401" s="31"/>
      <c r="H401" s="31"/>
      <c r="I401" s="31"/>
      <c r="J401" s="35"/>
      <c r="K401" s="35"/>
    </row>
    <row r="402" spans="2:11" ht="14.45" x14ac:dyDescent="0.35">
      <c r="B402" t="s">
        <v>440</v>
      </c>
      <c r="G402" s="31"/>
      <c r="H402" s="31"/>
      <c r="I402" s="31"/>
      <c r="J402" s="35"/>
      <c r="K402" s="35"/>
    </row>
    <row r="403" spans="2:11" ht="14.45" x14ac:dyDescent="0.35">
      <c r="B403" t="s">
        <v>441</v>
      </c>
      <c r="G403" s="31"/>
      <c r="H403" s="31"/>
      <c r="I403" s="31"/>
      <c r="J403" s="35"/>
      <c r="K403" s="35"/>
    </row>
    <row r="404" spans="2:11" ht="14.45" x14ac:dyDescent="0.35">
      <c r="B404" t="s">
        <v>442</v>
      </c>
      <c r="G404" s="31"/>
      <c r="H404" s="31"/>
      <c r="I404" s="31"/>
      <c r="J404" s="35"/>
      <c r="K404" s="35"/>
    </row>
    <row r="405" spans="2:11" ht="14.45" x14ac:dyDescent="0.35">
      <c r="B405" t="s">
        <v>443</v>
      </c>
      <c r="G405" s="31"/>
      <c r="H405" s="31"/>
      <c r="I405" s="31"/>
      <c r="J405" s="35"/>
      <c r="K405" s="35"/>
    </row>
    <row r="406" spans="2:11" ht="14.45" x14ac:dyDescent="0.35">
      <c r="B406" t="s">
        <v>444</v>
      </c>
      <c r="G406" s="31"/>
      <c r="H406" s="31"/>
      <c r="I406" s="31"/>
      <c r="J406" s="35"/>
      <c r="K406" s="35"/>
    </row>
    <row r="407" spans="2:11" ht="14.45" x14ac:dyDescent="0.35">
      <c r="B407" t="s">
        <v>445</v>
      </c>
      <c r="G407" s="31"/>
      <c r="H407" s="31"/>
      <c r="I407" s="31"/>
      <c r="J407" s="35"/>
      <c r="K407" s="35"/>
    </row>
    <row r="408" spans="2:11" ht="14.45" x14ac:dyDescent="0.35">
      <c r="B408" t="s">
        <v>446</v>
      </c>
      <c r="G408" s="31"/>
      <c r="H408" s="31"/>
      <c r="I408" s="31"/>
      <c r="J408" s="35"/>
      <c r="K408" s="35"/>
    </row>
    <row r="409" spans="2:11" ht="14.45" x14ac:dyDescent="0.35">
      <c r="B409" t="s">
        <v>447</v>
      </c>
      <c r="G409" s="31"/>
      <c r="H409" s="31"/>
      <c r="I409" s="31"/>
      <c r="J409" s="35"/>
      <c r="K409" s="35"/>
    </row>
    <row r="410" spans="2:11" ht="14.45" x14ac:dyDescent="0.35">
      <c r="B410" t="s">
        <v>448</v>
      </c>
      <c r="G410" s="31"/>
      <c r="H410" s="31"/>
      <c r="I410" s="31"/>
      <c r="J410" s="35"/>
      <c r="K410" s="35"/>
    </row>
    <row r="411" spans="2:11" ht="14.45" x14ac:dyDescent="0.35">
      <c r="B411" t="s">
        <v>449</v>
      </c>
      <c r="G411" s="31"/>
      <c r="H411" s="31"/>
      <c r="I411" s="31"/>
      <c r="J411" s="35"/>
      <c r="K411" s="35"/>
    </row>
    <row r="412" spans="2:11" ht="14.45" x14ac:dyDescent="0.35">
      <c r="B412" t="s">
        <v>450</v>
      </c>
      <c r="G412" s="31"/>
      <c r="H412" s="31"/>
      <c r="I412" s="31"/>
      <c r="J412" s="35"/>
      <c r="K412" s="35"/>
    </row>
    <row r="413" spans="2:11" ht="14.45" x14ac:dyDescent="0.35">
      <c r="B413" t="s">
        <v>451</v>
      </c>
      <c r="G413" s="31"/>
      <c r="H413" s="31"/>
      <c r="I413" s="31"/>
      <c r="J413" s="35"/>
      <c r="K413" s="35"/>
    </row>
    <row r="414" spans="2:11" ht="14.45" x14ac:dyDescent="0.35">
      <c r="G414" s="31"/>
      <c r="H414" s="31"/>
      <c r="I414" s="31"/>
      <c r="J414" s="35"/>
      <c r="K414" s="35"/>
    </row>
    <row r="415" spans="2:11" ht="14.45" x14ac:dyDescent="0.35">
      <c r="G415" s="31"/>
      <c r="H415" s="31"/>
      <c r="I415" s="31"/>
      <c r="J415" s="35"/>
      <c r="K415" s="35"/>
    </row>
    <row r="416" spans="2:11" ht="14.45" x14ac:dyDescent="0.35">
      <c r="G416" s="31"/>
      <c r="H416" s="31"/>
      <c r="I416" s="31"/>
      <c r="J416" s="35"/>
      <c r="K416" s="35"/>
    </row>
    <row r="417" spans="7:11" ht="14.45" x14ac:dyDescent="0.35">
      <c r="G417" s="31"/>
      <c r="H417" s="31"/>
      <c r="I417" s="31"/>
      <c r="J417" s="35"/>
      <c r="K417" s="35"/>
    </row>
    <row r="418" spans="7:11" ht="14.45" x14ac:dyDescent="0.35">
      <c r="G418" s="31"/>
      <c r="H418" s="31"/>
      <c r="I418" s="31"/>
      <c r="J418" s="35"/>
      <c r="K418" s="35"/>
    </row>
    <row r="419" spans="7:11" ht="14.45" x14ac:dyDescent="0.35">
      <c r="G419" s="31"/>
      <c r="H419" s="31"/>
      <c r="I419" s="31"/>
      <c r="J419" s="35"/>
      <c r="K419" s="35"/>
    </row>
    <row r="420" spans="7:11" ht="14.45" x14ac:dyDescent="0.35">
      <c r="G420" s="31"/>
      <c r="H420" s="31"/>
      <c r="I420" s="31"/>
      <c r="J420" s="35"/>
      <c r="K420" s="35"/>
    </row>
    <row r="421" spans="7:11" ht="14.45" x14ac:dyDescent="0.35">
      <c r="G421" s="31"/>
      <c r="H421" s="31"/>
      <c r="I421" s="31"/>
      <c r="J421" s="35"/>
      <c r="K421" s="35"/>
    </row>
    <row r="422" spans="7:11" ht="14.45" x14ac:dyDescent="0.35">
      <c r="G422" s="31"/>
      <c r="H422" s="31"/>
      <c r="I422" s="31"/>
      <c r="J422" s="35"/>
      <c r="K422" s="35"/>
    </row>
    <row r="423" spans="7:11" ht="14.45" x14ac:dyDescent="0.35">
      <c r="G423" s="31"/>
      <c r="H423" s="31"/>
      <c r="I423" s="31"/>
      <c r="J423" s="35"/>
      <c r="K423" s="35"/>
    </row>
    <row r="424" spans="7:11" ht="14.45" x14ac:dyDescent="0.35">
      <c r="G424" s="31"/>
      <c r="H424" s="31"/>
      <c r="I424" s="31"/>
      <c r="J424" s="35"/>
      <c r="K424" s="35"/>
    </row>
    <row r="425" spans="7:11" ht="14.45" x14ac:dyDescent="0.35">
      <c r="G425" s="31"/>
      <c r="H425" s="31"/>
      <c r="I425" s="31"/>
      <c r="J425" s="35"/>
      <c r="K425" s="35"/>
    </row>
    <row r="426" spans="7:11" ht="14.45" x14ac:dyDescent="0.35">
      <c r="G426" s="31"/>
      <c r="H426" s="31"/>
      <c r="I426" s="31"/>
      <c r="J426" s="35"/>
      <c r="K426" s="35"/>
    </row>
    <row r="427" spans="7:11" ht="14.45" x14ac:dyDescent="0.35">
      <c r="G427" s="31"/>
      <c r="H427" s="31"/>
      <c r="I427" s="31"/>
      <c r="J427" s="35"/>
      <c r="K427" s="35"/>
    </row>
    <row r="428" spans="7:11" ht="14.45" x14ac:dyDescent="0.35">
      <c r="G428" s="31"/>
      <c r="H428" s="31"/>
      <c r="I428" s="31"/>
      <c r="J428" s="35"/>
      <c r="K428" s="35"/>
    </row>
    <row r="429" spans="7:11" ht="14.45" x14ac:dyDescent="0.35">
      <c r="G429" s="31"/>
      <c r="H429" s="31"/>
      <c r="I429" s="31"/>
      <c r="J429" s="35"/>
      <c r="K429" s="35"/>
    </row>
    <row r="430" spans="7:11" ht="14.45" x14ac:dyDescent="0.35">
      <c r="G430" s="31"/>
      <c r="H430" s="31"/>
      <c r="I430" s="31"/>
      <c r="J430" s="35"/>
      <c r="K430" s="35"/>
    </row>
    <row r="431" spans="7:11" ht="14.45" x14ac:dyDescent="0.35">
      <c r="G431" s="31"/>
      <c r="H431" s="31"/>
      <c r="I431" s="31"/>
      <c r="J431" s="35"/>
      <c r="K431" s="35"/>
    </row>
    <row r="432" spans="7:11" ht="14.45" x14ac:dyDescent="0.35">
      <c r="G432" s="31"/>
      <c r="H432" s="31"/>
      <c r="I432" s="31"/>
      <c r="J432" s="35"/>
      <c r="K432" s="35"/>
    </row>
    <row r="433" spans="7:11" ht="14.45" x14ac:dyDescent="0.35">
      <c r="G433" s="31"/>
      <c r="H433" s="31"/>
      <c r="I433" s="31"/>
      <c r="J433" s="35"/>
      <c r="K433" s="35"/>
    </row>
    <row r="434" spans="7:11" ht="14.45" x14ac:dyDescent="0.35">
      <c r="G434" s="31"/>
      <c r="H434" s="31"/>
      <c r="I434" s="31"/>
      <c r="J434" s="35"/>
      <c r="K434" s="35"/>
    </row>
    <row r="435" spans="7:11" ht="14.45" x14ac:dyDescent="0.35">
      <c r="G435" s="31"/>
      <c r="H435" s="31"/>
      <c r="I435" s="31"/>
      <c r="J435" s="35"/>
      <c r="K435" s="35"/>
    </row>
    <row r="436" spans="7:11" ht="14.45" x14ac:dyDescent="0.35">
      <c r="G436" s="31"/>
      <c r="H436" s="31"/>
      <c r="I436" s="31"/>
      <c r="J436" s="35"/>
      <c r="K436" s="35"/>
    </row>
    <row r="437" spans="7:11" ht="14.45" x14ac:dyDescent="0.35">
      <c r="G437" s="31"/>
      <c r="H437" s="31"/>
      <c r="I437" s="31"/>
      <c r="J437" s="35"/>
      <c r="K437" s="35"/>
    </row>
    <row r="438" spans="7:11" ht="14.45" x14ac:dyDescent="0.35">
      <c r="G438" s="31"/>
      <c r="H438" s="31"/>
      <c r="I438" s="31"/>
      <c r="J438" s="35"/>
      <c r="K438" s="35"/>
    </row>
    <row r="439" spans="7:11" ht="14.45" x14ac:dyDescent="0.35">
      <c r="G439" s="31"/>
      <c r="H439" s="31"/>
      <c r="I439" s="31"/>
      <c r="J439" s="35"/>
      <c r="K439" s="35"/>
    </row>
    <row r="440" spans="7:11" ht="14.45" x14ac:dyDescent="0.35">
      <c r="G440" s="31"/>
      <c r="H440" s="31"/>
      <c r="I440" s="31"/>
      <c r="J440" s="35"/>
      <c r="K440" s="35"/>
    </row>
    <row r="441" spans="7:11" ht="14.45" x14ac:dyDescent="0.35">
      <c r="G441" s="31"/>
      <c r="H441" s="31"/>
      <c r="I441" s="31"/>
      <c r="J441" s="35"/>
      <c r="K441" s="35"/>
    </row>
    <row r="442" spans="7:11" ht="14.45" x14ac:dyDescent="0.35">
      <c r="G442" s="31"/>
      <c r="H442" s="31"/>
      <c r="I442" s="31"/>
      <c r="J442" s="35"/>
      <c r="K442" s="35"/>
    </row>
    <row r="443" spans="7:11" ht="14.45" x14ac:dyDescent="0.35">
      <c r="G443" s="31"/>
      <c r="H443" s="31"/>
      <c r="I443" s="31"/>
      <c r="J443" s="35"/>
      <c r="K443" s="35"/>
    </row>
    <row r="444" spans="7:11" ht="14.45" x14ac:dyDescent="0.35">
      <c r="G444" s="31"/>
      <c r="H444" s="31"/>
      <c r="I444" s="31"/>
      <c r="J444" s="35"/>
      <c r="K444" s="35"/>
    </row>
    <row r="445" spans="7:11" ht="14.45" x14ac:dyDescent="0.35">
      <c r="G445" s="31"/>
      <c r="H445" s="31"/>
      <c r="I445" s="31"/>
      <c r="J445" s="35"/>
      <c r="K445" s="35"/>
    </row>
    <row r="446" spans="7:11" ht="14.45" x14ac:dyDescent="0.35">
      <c r="G446" s="31"/>
      <c r="H446" s="31"/>
      <c r="I446" s="31"/>
      <c r="J446" s="35"/>
      <c r="K446" s="35"/>
    </row>
    <row r="447" spans="7:11" ht="14.45" x14ac:dyDescent="0.35">
      <c r="G447" s="31"/>
      <c r="H447" s="31"/>
      <c r="I447" s="31"/>
      <c r="J447" s="35"/>
      <c r="K447" s="35"/>
    </row>
    <row r="448" spans="7:11" ht="14.45" x14ac:dyDescent="0.35">
      <c r="G448" s="31"/>
      <c r="H448" s="31"/>
      <c r="I448" s="31"/>
      <c r="J448" s="35"/>
      <c r="K448" s="35"/>
    </row>
    <row r="449" spans="7:11" ht="14.45" x14ac:dyDescent="0.35">
      <c r="G449" s="31"/>
      <c r="H449" s="31"/>
      <c r="I449" s="31"/>
      <c r="J449" s="35"/>
      <c r="K449" s="35"/>
    </row>
    <row r="450" spans="7:11" ht="14.45" x14ac:dyDescent="0.35">
      <c r="G450" s="31"/>
      <c r="H450" s="31"/>
      <c r="I450" s="31"/>
      <c r="J450" s="35"/>
      <c r="K450" s="35"/>
    </row>
    <row r="451" spans="7:11" ht="14.45" x14ac:dyDescent="0.35">
      <c r="G451" s="31"/>
      <c r="H451" s="31"/>
      <c r="I451" s="31"/>
      <c r="J451" s="35"/>
      <c r="K451" s="35"/>
    </row>
    <row r="452" spans="7:11" ht="14.45" x14ac:dyDescent="0.35">
      <c r="G452" s="31"/>
      <c r="H452" s="31"/>
      <c r="I452" s="31"/>
      <c r="J452" s="35"/>
      <c r="K452" s="35"/>
    </row>
    <row r="453" spans="7:11" ht="14.45" x14ac:dyDescent="0.35">
      <c r="G453" s="31"/>
      <c r="H453" s="31"/>
      <c r="I453" s="31"/>
      <c r="J453" s="35"/>
      <c r="K453" s="35"/>
    </row>
    <row r="454" spans="7:11" ht="14.45" x14ac:dyDescent="0.35">
      <c r="G454" s="31"/>
      <c r="H454" s="31"/>
      <c r="I454" s="31"/>
      <c r="J454" s="35"/>
      <c r="K454" s="35"/>
    </row>
    <row r="455" spans="7:11" ht="14.45" x14ac:dyDescent="0.35">
      <c r="G455" s="31"/>
      <c r="H455" s="31"/>
      <c r="I455" s="31"/>
      <c r="J455" s="35"/>
      <c r="K455" s="35"/>
    </row>
    <row r="456" spans="7:11" ht="14.45" x14ac:dyDescent="0.35">
      <c r="G456" s="31"/>
      <c r="H456" s="31"/>
      <c r="I456" s="31"/>
      <c r="J456" s="35"/>
      <c r="K456" s="35"/>
    </row>
    <row r="457" spans="7:11" ht="14.45" x14ac:dyDescent="0.35">
      <c r="G457" s="31"/>
      <c r="H457" s="31"/>
      <c r="I457" s="31"/>
      <c r="J457" s="35"/>
      <c r="K457" s="35"/>
    </row>
    <row r="458" spans="7:11" ht="14.45" x14ac:dyDescent="0.35">
      <c r="G458" s="31"/>
      <c r="H458" s="31"/>
      <c r="I458" s="31"/>
      <c r="J458" s="35"/>
      <c r="K458" s="35"/>
    </row>
    <row r="459" spans="7:11" ht="14.45" x14ac:dyDescent="0.35">
      <c r="G459" s="31"/>
      <c r="H459" s="31"/>
      <c r="I459" s="31"/>
      <c r="J459" s="35"/>
      <c r="K459" s="35"/>
    </row>
    <row r="460" spans="7:11" ht="14.45" x14ac:dyDescent="0.35">
      <c r="G460" s="31"/>
      <c r="H460" s="31"/>
      <c r="I460" s="31"/>
      <c r="J460" s="35"/>
      <c r="K460" s="35"/>
    </row>
    <row r="461" spans="7:11" ht="14.45" x14ac:dyDescent="0.35">
      <c r="G461" s="31"/>
      <c r="H461" s="31"/>
      <c r="I461" s="31"/>
      <c r="J461" s="35"/>
      <c r="K461" s="35"/>
    </row>
    <row r="462" spans="7:11" ht="14.45" x14ac:dyDescent="0.35">
      <c r="G462" s="31"/>
      <c r="H462" s="31"/>
      <c r="I462" s="31"/>
      <c r="J462" s="35"/>
      <c r="K462" s="35"/>
    </row>
    <row r="463" spans="7:11" ht="14.45" x14ac:dyDescent="0.35">
      <c r="G463" s="31"/>
      <c r="H463" s="31"/>
      <c r="I463" s="31"/>
      <c r="J463" s="35"/>
      <c r="K463" s="35"/>
    </row>
    <row r="464" spans="7:11" ht="14.45" x14ac:dyDescent="0.35">
      <c r="G464" s="31"/>
      <c r="H464" s="31"/>
      <c r="I464" s="31"/>
      <c r="J464" s="35"/>
      <c r="K464" s="35"/>
    </row>
    <row r="465" spans="7:11" ht="14.45" x14ac:dyDescent="0.35">
      <c r="G465" s="31"/>
      <c r="H465" s="31"/>
      <c r="I465" s="31"/>
      <c r="J465" s="35"/>
      <c r="K465" s="35"/>
    </row>
    <row r="466" spans="7:11" ht="14.45" x14ac:dyDescent="0.35">
      <c r="G466" s="31"/>
      <c r="H466" s="31"/>
      <c r="I466" s="31"/>
      <c r="J466" s="35"/>
      <c r="K466" s="35"/>
    </row>
    <row r="467" spans="7:11" ht="14.45" x14ac:dyDescent="0.35">
      <c r="G467" s="31"/>
      <c r="H467" s="31"/>
      <c r="I467" s="31"/>
      <c r="J467" s="35"/>
      <c r="K467" s="35"/>
    </row>
    <row r="468" spans="7:11" ht="14.45" x14ac:dyDescent="0.35">
      <c r="G468" s="31"/>
      <c r="H468" s="31"/>
      <c r="I468" s="31"/>
      <c r="J468" s="35"/>
      <c r="K468" s="35"/>
    </row>
    <row r="469" spans="7:11" ht="14.45" x14ac:dyDescent="0.35">
      <c r="G469" s="31"/>
      <c r="H469" s="31"/>
      <c r="I469" s="31"/>
      <c r="J469" s="35"/>
      <c r="K469" s="35"/>
    </row>
    <row r="470" spans="7:11" ht="14.45" x14ac:dyDescent="0.35">
      <c r="G470" s="31"/>
      <c r="H470" s="31"/>
      <c r="I470" s="31"/>
      <c r="J470" s="35"/>
      <c r="K470" s="35"/>
    </row>
    <row r="471" spans="7:11" ht="14.45" x14ac:dyDescent="0.35">
      <c r="G471" s="31"/>
      <c r="H471" s="31"/>
      <c r="I471" s="31"/>
      <c r="J471" s="35"/>
      <c r="K471" s="35"/>
    </row>
    <row r="472" spans="7:11" ht="14.45" x14ac:dyDescent="0.35">
      <c r="G472" s="31"/>
      <c r="H472" s="31"/>
      <c r="I472" s="31"/>
      <c r="J472" s="35"/>
      <c r="K472" s="35"/>
    </row>
    <row r="473" spans="7:11" ht="14.45" x14ac:dyDescent="0.35">
      <c r="G473" s="31"/>
      <c r="H473" s="31"/>
      <c r="I473" s="31"/>
      <c r="J473" s="35"/>
      <c r="K473" s="35"/>
    </row>
    <row r="474" spans="7:11" ht="14.45" x14ac:dyDescent="0.35">
      <c r="G474" s="31"/>
      <c r="H474" s="31"/>
      <c r="I474" s="31"/>
      <c r="J474" s="35"/>
      <c r="K474" s="35"/>
    </row>
    <row r="475" spans="7:11" ht="14.45" x14ac:dyDescent="0.35">
      <c r="G475" s="31"/>
      <c r="H475" s="31"/>
      <c r="I475" s="31"/>
      <c r="J475" s="35"/>
      <c r="K475" s="35"/>
    </row>
    <row r="476" spans="7:11" ht="14.45" x14ac:dyDescent="0.35">
      <c r="G476" s="31"/>
      <c r="H476" s="31"/>
      <c r="I476" s="31"/>
      <c r="J476" s="35"/>
      <c r="K476" s="35"/>
    </row>
    <row r="477" spans="7:11" ht="14.45" x14ac:dyDescent="0.35">
      <c r="G477" s="31"/>
      <c r="H477" s="31"/>
      <c r="I477" s="31"/>
      <c r="J477" s="35"/>
      <c r="K477" s="35"/>
    </row>
    <row r="478" spans="7:11" ht="14.45" x14ac:dyDescent="0.35">
      <c r="G478" s="31"/>
      <c r="H478" s="31"/>
      <c r="I478" s="31"/>
      <c r="J478" s="35"/>
      <c r="K478" s="35"/>
    </row>
    <row r="479" spans="7:11" ht="14.45" x14ac:dyDescent="0.35">
      <c r="G479" s="31"/>
      <c r="H479" s="31"/>
      <c r="I479" s="31"/>
      <c r="J479" s="35"/>
      <c r="K479" s="35"/>
    </row>
    <row r="480" spans="7:11" ht="14.45" x14ac:dyDescent="0.35">
      <c r="G480" s="31"/>
      <c r="H480" s="31"/>
      <c r="I480" s="31"/>
      <c r="J480" s="35"/>
      <c r="K480" s="35"/>
    </row>
    <row r="481" spans="7:11" ht="14.45" x14ac:dyDescent="0.35">
      <c r="G481" s="31"/>
      <c r="H481" s="31"/>
      <c r="I481" s="31"/>
      <c r="J481" s="35"/>
      <c r="K481" s="35"/>
    </row>
    <row r="482" spans="7:11" ht="14.45" x14ac:dyDescent="0.35">
      <c r="G482" s="31"/>
      <c r="H482" s="31"/>
      <c r="I482" s="31"/>
      <c r="J482" s="35"/>
      <c r="K482" s="35"/>
    </row>
    <row r="483" spans="7:11" ht="14.45" x14ac:dyDescent="0.35">
      <c r="G483" s="31"/>
      <c r="H483" s="31"/>
      <c r="I483" s="31"/>
      <c r="J483" s="35"/>
      <c r="K483" s="35"/>
    </row>
    <row r="484" spans="7:11" ht="14.45" x14ac:dyDescent="0.35">
      <c r="G484" s="31"/>
      <c r="H484" s="31"/>
      <c r="I484" s="31"/>
      <c r="J484" s="35"/>
      <c r="K484" s="35"/>
    </row>
    <row r="485" spans="7:11" ht="14.45" x14ac:dyDescent="0.35">
      <c r="G485" s="31"/>
      <c r="H485" s="31"/>
      <c r="I485" s="31"/>
      <c r="J485" s="35"/>
      <c r="K485" s="35"/>
    </row>
    <row r="486" spans="7:11" ht="14.45" x14ac:dyDescent="0.35">
      <c r="G486" s="31"/>
      <c r="H486" s="31"/>
      <c r="I486" s="31"/>
      <c r="J486" s="35"/>
      <c r="K486" s="35"/>
    </row>
    <row r="487" spans="7:11" ht="14.45" x14ac:dyDescent="0.35">
      <c r="G487" s="31"/>
      <c r="H487" s="31"/>
      <c r="I487" s="31"/>
      <c r="J487" s="35"/>
      <c r="K487" s="35"/>
    </row>
    <row r="488" spans="7:11" ht="14.45" x14ac:dyDescent="0.35">
      <c r="G488" s="31"/>
      <c r="H488" s="31"/>
      <c r="I488" s="31"/>
      <c r="J488" s="35"/>
      <c r="K488" s="35"/>
    </row>
    <row r="489" spans="7:11" ht="14.45" x14ac:dyDescent="0.35">
      <c r="G489" s="31"/>
      <c r="H489" s="31"/>
      <c r="I489" s="31"/>
      <c r="J489" s="35"/>
      <c r="K489" s="35"/>
    </row>
    <row r="490" spans="7:11" ht="14.45" x14ac:dyDescent="0.35">
      <c r="G490" s="31"/>
      <c r="H490" s="31"/>
      <c r="I490" s="31"/>
      <c r="J490" s="35"/>
      <c r="K490" s="35"/>
    </row>
    <row r="491" spans="7:11" ht="14.45" x14ac:dyDescent="0.35">
      <c r="G491" s="31"/>
      <c r="H491" s="31"/>
      <c r="I491" s="31"/>
      <c r="J491" s="35"/>
      <c r="K491" s="35"/>
    </row>
    <row r="492" spans="7:11" ht="14.45" x14ac:dyDescent="0.35">
      <c r="G492" s="31"/>
      <c r="H492" s="31"/>
      <c r="I492" s="31"/>
      <c r="J492" s="35"/>
      <c r="K492" s="35"/>
    </row>
    <row r="493" spans="7:11" ht="14.45" x14ac:dyDescent="0.35">
      <c r="G493" s="31"/>
      <c r="H493" s="31"/>
      <c r="I493" s="31"/>
      <c r="J493" s="35"/>
      <c r="K493" s="35"/>
    </row>
    <row r="494" spans="7:11" ht="14.45" x14ac:dyDescent="0.35">
      <c r="G494" s="31"/>
      <c r="H494" s="31"/>
      <c r="I494" s="31"/>
      <c r="J494" s="35"/>
      <c r="K494" s="35"/>
    </row>
    <row r="495" spans="7:11" ht="14.45" x14ac:dyDescent="0.35">
      <c r="G495" s="31"/>
      <c r="H495" s="31"/>
      <c r="I495" s="31"/>
      <c r="J495" s="35"/>
      <c r="K495" s="35"/>
    </row>
    <row r="496" spans="7:11" ht="14.45" x14ac:dyDescent="0.35">
      <c r="G496" s="31"/>
      <c r="H496" s="31"/>
      <c r="I496" s="31"/>
      <c r="J496" s="35"/>
      <c r="K496" s="35"/>
    </row>
    <row r="497" spans="7:11" ht="14.45" x14ac:dyDescent="0.35">
      <c r="G497" s="31"/>
      <c r="H497" s="31"/>
      <c r="I497" s="31"/>
      <c r="J497" s="35"/>
      <c r="K497" s="35"/>
    </row>
    <row r="498" spans="7:11" ht="14.45" x14ac:dyDescent="0.35">
      <c r="G498" s="31"/>
      <c r="H498" s="31"/>
      <c r="I498" s="31"/>
      <c r="J498" s="35"/>
      <c r="K498" s="35"/>
    </row>
    <row r="499" spans="7:11" ht="14.45" x14ac:dyDescent="0.35">
      <c r="G499" s="31"/>
      <c r="H499" s="31"/>
      <c r="I499" s="31"/>
      <c r="J499" s="35"/>
      <c r="K499" s="35"/>
    </row>
    <row r="500" spans="7:11" ht="14.45" x14ac:dyDescent="0.35">
      <c r="G500" s="31"/>
      <c r="H500" s="31"/>
      <c r="I500" s="31"/>
      <c r="J500" s="35"/>
      <c r="K500" s="35"/>
    </row>
    <row r="501" spans="7:11" ht="14.45" x14ac:dyDescent="0.35">
      <c r="G501" s="31"/>
      <c r="H501" s="31"/>
      <c r="I501" s="31"/>
      <c r="J501" s="35"/>
      <c r="K501" s="35"/>
    </row>
    <row r="502" spans="7:11" ht="14.45" x14ac:dyDescent="0.35">
      <c r="G502" s="31"/>
      <c r="H502" s="31"/>
      <c r="I502" s="31"/>
      <c r="J502" s="35"/>
      <c r="K502" s="35"/>
    </row>
    <row r="503" spans="7:11" ht="14.45" x14ac:dyDescent="0.35">
      <c r="G503" s="31"/>
      <c r="H503" s="31"/>
      <c r="I503" s="31"/>
      <c r="J503" s="35"/>
      <c r="K503" s="35"/>
    </row>
    <row r="504" spans="7:11" ht="14.45" x14ac:dyDescent="0.35">
      <c r="G504" s="31"/>
      <c r="H504" s="31"/>
      <c r="I504" s="31"/>
      <c r="J504" s="35"/>
      <c r="K504" s="35"/>
    </row>
    <row r="505" spans="7:11" ht="14.45" x14ac:dyDescent="0.35">
      <c r="G505" s="31"/>
      <c r="H505" s="31"/>
      <c r="I505" s="31"/>
      <c r="J505" s="35"/>
      <c r="K505" s="35"/>
    </row>
    <row r="506" spans="7:11" ht="14.45" x14ac:dyDescent="0.35">
      <c r="G506" s="31"/>
      <c r="H506" s="31"/>
      <c r="I506" s="31"/>
      <c r="J506" s="35"/>
      <c r="K506" s="35"/>
    </row>
    <row r="507" spans="7:11" ht="14.45" x14ac:dyDescent="0.35">
      <c r="G507" s="31"/>
      <c r="H507" s="31"/>
      <c r="I507" s="31"/>
      <c r="J507" s="35"/>
      <c r="K507" s="35"/>
    </row>
    <row r="508" spans="7:11" ht="14.45" x14ac:dyDescent="0.35">
      <c r="G508" s="31"/>
      <c r="H508" s="31"/>
      <c r="I508" s="31"/>
      <c r="J508" s="35"/>
      <c r="K508" s="35"/>
    </row>
    <row r="509" spans="7:11" ht="14.45" x14ac:dyDescent="0.35">
      <c r="G509" s="31"/>
      <c r="H509" s="31"/>
      <c r="I509" s="31"/>
      <c r="J509" s="35"/>
      <c r="K509" s="35"/>
    </row>
    <row r="510" spans="7:11" ht="14.45" x14ac:dyDescent="0.35">
      <c r="G510" s="31"/>
      <c r="H510" s="31"/>
      <c r="I510" s="31"/>
      <c r="J510" s="35"/>
      <c r="K510" s="35"/>
    </row>
    <row r="511" spans="7:11" ht="14.45" x14ac:dyDescent="0.35">
      <c r="G511" s="31"/>
      <c r="H511" s="31"/>
      <c r="I511" s="31"/>
      <c r="J511" s="35"/>
      <c r="K511" s="35"/>
    </row>
    <row r="512" spans="7:11" ht="14.45" x14ac:dyDescent="0.35">
      <c r="G512" s="31"/>
      <c r="H512" s="31"/>
      <c r="I512" s="31"/>
      <c r="J512" s="35"/>
      <c r="K512" s="35"/>
    </row>
    <row r="513" spans="7:11" ht="14.45" x14ac:dyDescent="0.35">
      <c r="G513" s="31"/>
      <c r="H513" s="31"/>
      <c r="I513" s="31"/>
      <c r="J513" s="35"/>
      <c r="K513" s="35"/>
    </row>
    <row r="514" spans="7:11" ht="14.45" x14ac:dyDescent="0.35">
      <c r="G514" s="31"/>
      <c r="H514" s="31"/>
      <c r="I514" s="31"/>
      <c r="J514" s="35"/>
      <c r="K514" s="35"/>
    </row>
    <row r="515" spans="7:11" ht="14.45" x14ac:dyDescent="0.35">
      <c r="G515" s="31"/>
      <c r="H515" s="31"/>
      <c r="I515" s="31"/>
      <c r="J515" s="35"/>
      <c r="K515" s="35"/>
    </row>
    <row r="516" spans="7:11" ht="14.45" x14ac:dyDescent="0.35">
      <c r="G516" s="31"/>
      <c r="H516" s="31"/>
      <c r="I516" s="31"/>
      <c r="J516" s="35"/>
      <c r="K516" s="35"/>
    </row>
    <row r="517" spans="7:11" ht="14.45" x14ac:dyDescent="0.35">
      <c r="G517" s="31"/>
      <c r="H517" s="31"/>
      <c r="I517" s="31"/>
      <c r="J517" s="35"/>
      <c r="K517" s="35"/>
    </row>
    <row r="518" spans="7:11" ht="14.45" x14ac:dyDescent="0.35">
      <c r="G518" s="31"/>
      <c r="H518" s="31"/>
      <c r="I518" s="31"/>
      <c r="J518" s="35"/>
      <c r="K518" s="35"/>
    </row>
    <row r="519" spans="7:11" ht="14.45" x14ac:dyDescent="0.35">
      <c r="G519" s="31"/>
      <c r="H519" s="31"/>
      <c r="I519" s="31"/>
      <c r="J519" s="35"/>
      <c r="K519" s="35"/>
    </row>
    <row r="520" spans="7:11" ht="14.45" x14ac:dyDescent="0.35">
      <c r="G520" s="31"/>
      <c r="H520" s="31"/>
      <c r="I520" s="31"/>
      <c r="J520" s="35"/>
      <c r="K520" s="35"/>
    </row>
    <row r="521" spans="7:11" ht="14.45" x14ac:dyDescent="0.35">
      <c r="G521" s="31"/>
      <c r="H521" s="31"/>
      <c r="I521" s="31"/>
      <c r="J521" s="35"/>
      <c r="K521" s="35"/>
    </row>
    <row r="522" spans="7:11" ht="14.45" x14ac:dyDescent="0.35">
      <c r="G522" s="31"/>
      <c r="H522" s="31"/>
      <c r="I522" s="31"/>
      <c r="J522" s="35"/>
      <c r="K522" s="35"/>
    </row>
    <row r="523" spans="7:11" ht="14.45" x14ac:dyDescent="0.35">
      <c r="G523" s="31"/>
      <c r="H523" s="31"/>
      <c r="I523" s="31"/>
      <c r="J523" s="35"/>
      <c r="K523" s="35"/>
    </row>
    <row r="524" spans="7:11" ht="14.45" x14ac:dyDescent="0.35">
      <c r="G524" s="31"/>
      <c r="H524" s="31"/>
      <c r="I524" s="31"/>
      <c r="J524" s="35"/>
      <c r="K524" s="35"/>
    </row>
    <row r="525" spans="7:11" ht="14.45" x14ac:dyDescent="0.35">
      <c r="G525" s="31"/>
      <c r="H525" s="31"/>
      <c r="I525" s="31"/>
      <c r="J525" s="35"/>
      <c r="K525" s="35"/>
    </row>
    <row r="526" spans="7:11" ht="14.45" x14ac:dyDescent="0.35">
      <c r="G526" s="31"/>
      <c r="H526" s="31"/>
      <c r="I526" s="31"/>
      <c r="J526" s="35"/>
      <c r="K526" s="35"/>
    </row>
    <row r="527" spans="7:11" ht="14.45" x14ac:dyDescent="0.35">
      <c r="G527" s="31"/>
      <c r="H527" s="31"/>
      <c r="I527" s="31"/>
      <c r="J527" s="35"/>
      <c r="K527" s="35"/>
    </row>
    <row r="528" spans="7:11" ht="14.45" x14ac:dyDescent="0.35">
      <c r="G528" s="31"/>
      <c r="H528" s="31"/>
      <c r="I528" s="31"/>
      <c r="J528" s="35"/>
      <c r="K528" s="35"/>
    </row>
    <row r="529" spans="7:11" ht="14.45" x14ac:dyDescent="0.35">
      <c r="G529" s="31"/>
      <c r="H529" s="31"/>
      <c r="I529" s="31"/>
      <c r="J529" s="35"/>
      <c r="K529" s="35"/>
    </row>
    <row r="530" spans="7:11" ht="14.45" x14ac:dyDescent="0.35">
      <c r="G530" s="31"/>
      <c r="H530" s="31"/>
      <c r="I530" s="31"/>
      <c r="J530" s="35"/>
      <c r="K530" s="35"/>
    </row>
    <row r="531" spans="7:11" ht="14.45" x14ac:dyDescent="0.35">
      <c r="G531" s="31"/>
      <c r="H531" s="31"/>
      <c r="I531" s="31"/>
      <c r="J531" s="35"/>
      <c r="K531" s="35"/>
    </row>
    <row r="532" spans="7:11" ht="14.45" x14ac:dyDescent="0.35">
      <c r="G532" s="31"/>
      <c r="H532" s="31"/>
      <c r="I532" s="31"/>
      <c r="J532" s="35"/>
      <c r="K532" s="35"/>
    </row>
    <row r="533" spans="7:11" ht="14.45" x14ac:dyDescent="0.35">
      <c r="G533" s="31"/>
      <c r="H533" s="31"/>
      <c r="I533" s="31"/>
      <c r="J533" s="35"/>
      <c r="K533" s="35"/>
    </row>
    <row r="534" spans="7:11" ht="14.45" x14ac:dyDescent="0.35">
      <c r="G534" s="31"/>
      <c r="H534" s="31"/>
      <c r="I534" s="31"/>
      <c r="J534" s="35"/>
      <c r="K534" s="35"/>
    </row>
    <row r="535" spans="7:11" ht="14.45" x14ac:dyDescent="0.35">
      <c r="G535" s="31"/>
      <c r="H535" s="31"/>
      <c r="I535" s="31"/>
      <c r="J535" s="35"/>
      <c r="K535" s="35"/>
    </row>
    <row r="536" spans="7:11" ht="14.45" x14ac:dyDescent="0.35">
      <c r="G536" s="31"/>
      <c r="H536" s="31"/>
      <c r="I536" s="31"/>
      <c r="J536" s="35"/>
      <c r="K536" s="35"/>
    </row>
    <row r="537" spans="7:11" ht="14.45" x14ac:dyDescent="0.35">
      <c r="G537" s="31"/>
      <c r="H537" s="31"/>
      <c r="I537" s="31"/>
      <c r="J537" s="35"/>
      <c r="K537" s="35"/>
    </row>
    <row r="538" spans="7:11" ht="14.45" x14ac:dyDescent="0.35">
      <c r="G538" s="31"/>
      <c r="H538" s="31"/>
      <c r="I538" s="31"/>
      <c r="J538" s="35"/>
      <c r="K538" s="35"/>
    </row>
    <row r="539" spans="7:11" ht="14.45" x14ac:dyDescent="0.35">
      <c r="G539" s="31"/>
      <c r="H539" s="31"/>
      <c r="I539" s="31"/>
      <c r="J539" s="35"/>
      <c r="K539" s="35"/>
    </row>
    <row r="540" spans="7:11" ht="14.45" x14ac:dyDescent="0.35">
      <c r="G540" s="31"/>
      <c r="H540" s="31"/>
      <c r="I540" s="31"/>
      <c r="J540" s="35"/>
      <c r="K540" s="35"/>
    </row>
    <row r="541" spans="7:11" ht="14.45" x14ac:dyDescent="0.35">
      <c r="G541" s="31"/>
      <c r="H541" s="31"/>
      <c r="I541" s="31"/>
      <c r="J541" s="35"/>
      <c r="K541" s="35"/>
    </row>
    <row r="542" spans="7:11" ht="14.45" x14ac:dyDescent="0.35">
      <c r="G542" s="31"/>
      <c r="H542" s="31"/>
      <c r="I542" s="31"/>
      <c r="J542" s="35"/>
      <c r="K542" s="35"/>
    </row>
    <row r="543" spans="7:11" ht="14.45" x14ac:dyDescent="0.35">
      <c r="G543" s="31"/>
      <c r="H543" s="31"/>
      <c r="I543" s="31"/>
      <c r="J543" s="35"/>
      <c r="K543" s="35"/>
    </row>
    <row r="544" spans="7:11" ht="14.45" x14ac:dyDescent="0.35">
      <c r="G544" s="31"/>
      <c r="H544" s="31"/>
      <c r="I544" s="31"/>
      <c r="J544" s="35"/>
      <c r="K544" s="35"/>
    </row>
    <row r="545" spans="7:11" ht="14.45" x14ac:dyDescent="0.35">
      <c r="G545" s="31"/>
      <c r="H545" s="31"/>
      <c r="I545" s="31"/>
      <c r="J545" s="35"/>
      <c r="K545" s="35"/>
    </row>
    <row r="546" spans="7:11" ht="14.45" x14ac:dyDescent="0.35">
      <c r="G546" s="31"/>
      <c r="H546" s="31"/>
      <c r="I546" s="31"/>
      <c r="J546" s="35"/>
      <c r="K546" s="35"/>
    </row>
    <row r="547" spans="7:11" ht="14.45" x14ac:dyDescent="0.35">
      <c r="G547" s="31"/>
      <c r="H547" s="31"/>
      <c r="I547" s="31"/>
      <c r="J547" s="35"/>
      <c r="K547" s="35"/>
    </row>
    <row r="548" spans="7:11" ht="14.45" x14ac:dyDescent="0.35">
      <c r="G548" s="31"/>
      <c r="H548" s="31"/>
      <c r="I548" s="31"/>
      <c r="J548" s="35"/>
      <c r="K548" s="35"/>
    </row>
    <row r="549" spans="7:11" ht="14.45" x14ac:dyDescent="0.35">
      <c r="G549" s="31"/>
      <c r="H549" s="31"/>
      <c r="I549" s="31"/>
      <c r="J549" s="35"/>
      <c r="K549" s="35"/>
    </row>
    <row r="550" spans="7:11" ht="14.45" x14ac:dyDescent="0.35">
      <c r="G550" s="31"/>
      <c r="H550" s="31"/>
      <c r="I550" s="31"/>
      <c r="J550" s="35"/>
      <c r="K550" s="35"/>
    </row>
    <row r="551" spans="7:11" ht="14.45" x14ac:dyDescent="0.35">
      <c r="G551" s="31"/>
      <c r="H551" s="31"/>
      <c r="I551" s="31"/>
      <c r="J551" s="35"/>
      <c r="K551" s="35"/>
    </row>
    <row r="552" spans="7:11" ht="14.45" x14ac:dyDescent="0.35">
      <c r="G552" s="31"/>
      <c r="H552" s="31"/>
      <c r="I552" s="31"/>
      <c r="J552" s="35"/>
      <c r="K552" s="35"/>
    </row>
    <row r="553" spans="7:11" ht="14.45" x14ac:dyDescent="0.35">
      <c r="G553" s="31"/>
      <c r="H553" s="31"/>
      <c r="I553" s="31"/>
      <c r="J553" s="35"/>
      <c r="K553" s="35"/>
    </row>
    <row r="554" spans="7:11" ht="14.45" x14ac:dyDescent="0.35">
      <c r="G554" s="31"/>
      <c r="H554" s="31"/>
      <c r="I554" s="31"/>
      <c r="J554" s="35"/>
      <c r="K554" s="35"/>
    </row>
    <row r="555" spans="7:11" ht="14.45" x14ac:dyDescent="0.35">
      <c r="G555" s="31"/>
      <c r="H555" s="31"/>
      <c r="I555" s="31"/>
      <c r="J555" s="35"/>
      <c r="K555" s="35"/>
    </row>
    <row r="556" spans="7:11" ht="14.45" x14ac:dyDescent="0.35">
      <c r="G556" s="31"/>
      <c r="H556" s="31"/>
      <c r="I556" s="31"/>
      <c r="J556" s="35"/>
      <c r="K556" s="35"/>
    </row>
    <row r="557" spans="7:11" ht="14.45" x14ac:dyDescent="0.35">
      <c r="G557" s="31"/>
      <c r="H557" s="31"/>
      <c r="I557" s="31"/>
      <c r="J557" s="35"/>
      <c r="K557" s="35"/>
    </row>
    <row r="558" spans="7:11" ht="14.45" x14ac:dyDescent="0.35">
      <c r="G558" s="31"/>
      <c r="H558" s="31"/>
      <c r="I558" s="31"/>
      <c r="J558" s="35"/>
      <c r="K558" s="35"/>
    </row>
    <row r="559" spans="7:11" ht="14.45" x14ac:dyDescent="0.35">
      <c r="G559" s="31"/>
      <c r="H559" s="31"/>
      <c r="I559" s="31"/>
      <c r="J559" s="35"/>
      <c r="K559" s="35"/>
    </row>
    <row r="560" spans="7:11" ht="14.45" x14ac:dyDescent="0.35">
      <c r="G560" s="31"/>
      <c r="H560" s="31"/>
      <c r="I560" s="31"/>
      <c r="J560" s="35"/>
      <c r="K560" s="35"/>
    </row>
    <row r="561" spans="7:11" ht="14.45" x14ac:dyDescent="0.35">
      <c r="G561" s="31"/>
      <c r="H561" s="31"/>
      <c r="I561" s="31"/>
      <c r="J561" s="35"/>
      <c r="K561" s="35"/>
    </row>
    <row r="562" spans="7:11" ht="14.45" x14ac:dyDescent="0.35">
      <c r="G562" s="31"/>
      <c r="H562" s="31"/>
      <c r="I562" s="31"/>
      <c r="J562" s="35"/>
      <c r="K562" s="35"/>
    </row>
    <row r="563" spans="7:11" ht="14.45" x14ac:dyDescent="0.35">
      <c r="G563" s="31"/>
      <c r="H563" s="31"/>
      <c r="I563" s="31"/>
      <c r="J563" s="35"/>
      <c r="K563" s="35"/>
    </row>
    <row r="564" spans="7:11" ht="14.45" x14ac:dyDescent="0.35">
      <c r="G564" s="31"/>
      <c r="H564" s="31"/>
      <c r="I564" s="31"/>
      <c r="J564" s="35"/>
      <c r="K564" s="35"/>
    </row>
    <row r="565" spans="7:11" ht="14.45" x14ac:dyDescent="0.35">
      <c r="G565" s="31"/>
      <c r="H565" s="31"/>
      <c r="I565" s="31"/>
      <c r="J565" s="35"/>
      <c r="K565" s="35"/>
    </row>
    <row r="566" spans="7:11" ht="14.45" x14ac:dyDescent="0.35">
      <c r="G566" s="31"/>
      <c r="H566" s="31"/>
      <c r="I566" s="31"/>
      <c r="J566" s="35"/>
      <c r="K566" s="35"/>
    </row>
    <row r="567" spans="7:11" ht="14.45" x14ac:dyDescent="0.35">
      <c r="G567" s="31"/>
      <c r="H567" s="31"/>
      <c r="I567" s="31"/>
      <c r="J567" s="35"/>
      <c r="K567" s="35"/>
    </row>
    <row r="568" spans="7:11" ht="14.45" x14ac:dyDescent="0.35">
      <c r="G568" s="31"/>
      <c r="H568" s="31"/>
      <c r="I568" s="31"/>
      <c r="J568" s="35"/>
      <c r="K568" s="35"/>
    </row>
    <row r="569" spans="7:11" ht="14.45" x14ac:dyDescent="0.35">
      <c r="G569" s="31"/>
      <c r="H569" s="31"/>
      <c r="I569" s="31"/>
      <c r="J569" s="35"/>
      <c r="K569" s="35"/>
    </row>
    <row r="570" spans="7:11" ht="14.45" x14ac:dyDescent="0.35">
      <c r="G570" s="31"/>
      <c r="H570" s="31"/>
      <c r="I570" s="31"/>
      <c r="J570" s="35"/>
      <c r="K570" s="35"/>
    </row>
    <row r="571" spans="7:11" ht="14.45" x14ac:dyDescent="0.35">
      <c r="G571" s="31"/>
      <c r="H571" s="31"/>
      <c r="I571" s="31"/>
      <c r="J571" s="35"/>
      <c r="K571" s="35"/>
    </row>
    <row r="572" spans="7:11" ht="14.45" x14ac:dyDescent="0.35">
      <c r="G572" s="31"/>
      <c r="H572" s="31"/>
      <c r="I572" s="31"/>
      <c r="J572" s="35"/>
      <c r="K572" s="35"/>
    </row>
    <row r="573" spans="7:11" ht="14.45" x14ac:dyDescent="0.35">
      <c r="G573" s="31"/>
      <c r="H573" s="31"/>
      <c r="I573" s="31"/>
      <c r="J573" s="35"/>
      <c r="K573" s="35"/>
    </row>
    <row r="574" spans="7:11" ht="14.45" x14ac:dyDescent="0.35">
      <c r="G574" s="31"/>
      <c r="H574" s="31"/>
      <c r="I574" s="31"/>
      <c r="J574" s="35"/>
      <c r="K574" s="35"/>
    </row>
    <row r="575" spans="7:11" ht="14.45" x14ac:dyDescent="0.35">
      <c r="G575" s="31"/>
      <c r="H575" s="31"/>
      <c r="I575" s="31"/>
      <c r="J575" s="35"/>
      <c r="K575" s="35"/>
    </row>
    <row r="576" spans="7:11" ht="14.45" x14ac:dyDescent="0.35">
      <c r="G576" s="31"/>
      <c r="H576" s="31"/>
      <c r="I576" s="31"/>
      <c r="J576" s="35"/>
      <c r="K576" s="35"/>
    </row>
    <row r="577" spans="7:11" ht="14.45" x14ac:dyDescent="0.35">
      <c r="G577" s="31"/>
      <c r="H577" s="31"/>
      <c r="I577" s="31"/>
      <c r="J577" s="35"/>
      <c r="K577" s="35"/>
    </row>
    <row r="578" spans="7:11" ht="14.45" x14ac:dyDescent="0.35">
      <c r="G578" s="31"/>
      <c r="H578" s="31"/>
      <c r="I578" s="31"/>
      <c r="J578" s="35"/>
      <c r="K578" s="35"/>
    </row>
    <row r="579" spans="7:11" ht="14.45" x14ac:dyDescent="0.35">
      <c r="G579" s="31"/>
      <c r="H579" s="31"/>
      <c r="I579" s="31"/>
      <c r="J579" s="35"/>
      <c r="K579" s="35"/>
    </row>
    <row r="580" spans="7:11" ht="14.45" x14ac:dyDescent="0.35">
      <c r="G580" s="31"/>
      <c r="H580" s="31"/>
      <c r="I580" s="31"/>
      <c r="J580" s="35"/>
      <c r="K580" s="35"/>
    </row>
    <row r="581" spans="7:11" ht="14.45" x14ac:dyDescent="0.35">
      <c r="G581" s="31"/>
      <c r="H581" s="31"/>
      <c r="I581" s="31"/>
      <c r="J581" s="35"/>
      <c r="K581" s="35"/>
    </row>
    <row r="582" spans="7:11" ht="14.45" x14ac:dyDescent="0.35">
      <c r="G582" s="31"/>
      <c r="H582" s="31"/>
      <c r="I582" s="31"/>
      <c r="J582" s="35"/>
      <c r="K582" s="35"/>
    </row>
    <row r="583" spans="7:11" ht="14.45" x14ac:dyDescent="0.35">
      <c r="G583" s="31"/>
      <c r="H583" s="31"/>
      <c r="I583" s="31"/>
      <c r="J583" s="35"/>
      <c r="K583" s="35"/>
    </row>
    <row r="584" spans="7:11" ht="14.45" x14ac:dyDescent="0.35">
      <c r="G584" s="31"/>
      <c r="H584" s="31"/>
      <c r="I584" s="31"/>
      <c r="J584" s="35"/>
      <c r="K584" s="35"/>
    </row>
    <row r="585" spans="7:11" ht="14.45" x14ac:dyDescent="0.35">
      <c r="G585" s="31"/>
      <c r="H585" s="31"/>
      <c r="I585" s="31"/>
      <c r="J585" s="35"/>
      <c r="K585" s="35"/>
    </row>
    <row r="586" spans="7:11" ht="14.45" x14ac:dyDescent="0.35">
      <c r="G586" s="31"/>
      <c r="H586" s="31"/>
      <c r="I586" s="31"/>
      <c r="J586" s="35"/>
      <c r="K586" s="35"/>
    </row>
    <row r="587" spans="7:11" ht="14.45" x14ac:dyDescent="0.35">
      <c r="G587" s="31"/>
      <c r="H587" s="31"/>
      <c r="I587" s="31"/>
      <c r="J587" s="35"/>
      <c r="K587" s="35"/>
    </row>
    <row r="588" spans="7:11" ht="14.45" x14ac:dyDescent="0.35">
      <c r="G588" s="31"/>
      <c r="H588" s="31"/>
      <c r="I588" s="31"/>
      <c r="J588" s="35"/>
      <c r="K588" s="35"/>
    </row>
    <row r="589" spans="7:11" ht="14.45" x14ac:dyDescent="0.35">
      <c r="G589" s="31"/>
      <c r="H589" s="31"/>
      <c r="I589" s="31"/>
      <c r="J589" s="35"/>
      <c r="K589" s="35"/>
    </row>
    <row r="590" spans="7:11" ht="14.45" x14ac:dyDescent="0.35">
      <c r="G590" s="31"/>
      <c r="H590" s="31"/>
      <c r="I590" s="31"/>
      <c r="J590" s="35"/>
      <c r="K590" s="35"/>
    </row>
    <row r="591" spans="7:11" ht="14.45" x14ac:dyDescent="0.35">
      <c r="G591" s="31"/>
      <c r="H591" s="31"/>
      <c r="I591" s="31"/>
      <c r="J591" s="35"/>
      <c r="K591" s="35"/>
    </row>
    <row r="592" spans="7:11" ht="14.45" x14ac:dyDescent="0.35">
      <c r="G592" s="31"/>
      <c r="H592" s="31"/>
      <c r="I592" s="31"/>
      <c r="J592" s="35"/>
      <c r="K592" s="35"/>
    </row>
    <row r="593" spans="7:11" ht="14.45" x14ac:dyDescent="0.35">
      <c r="G593" s="31"/>
      <c r="H593" s="31"/>
      <c r="I593" s="31"/>
      <c r="J593" s="35"/>
      <c r="K593" s="35"/>
    </row>
    <row r="594" spans="7:11" ht="14.45" x14ac:dyDescent="0.35">
      <c r="G594" s="31"/>
      <c r="H594" s="31"/>
      <c r="I594" s="31"/>
      <c r="J594" s="35"/>
      <c r="K594" s="35"/>
    </row>
    <row r="595" spans="7:11" ht="14.45" x14ac:dyDescent="0.35">
      <c r="G595" s="31"/>
      <c r="H595" s="31"/>
      <c r="I595" s="31"/>
      <c r="J595" s="35"/>
      <c r="K595" s="35"/>
    </row>
    <row r="596" spans="7:11" ht="14.45" x14ac:dyDescent="0.35">
      <c r="G596" s="31"/>
      <c r="H596" s="31"/>
      <c r="I596" s="31"/>
      <c r="J596" s="35"/>
      <c r="K596" s="35"/>
    </row>
    <row r="597" spans="7:11" ht="14.45" x14ac:dyDescent="0.35">
      <c r="G597" s="31"/>
      <c r="H597" s="31"/>
      <c r="I597" s="31"/>
      <c r="J597" s="35"/>
      <c r="K597" s="35"/>
    </row>
    <row r="598" spans="7:11" ht="14.45" x14ac:dyDescent="0.35">
      <c r="G598" s="31"/>
      <c r="H598" s="31"/>
      <c r="I598" s="31"/>
      <c r="J598" s="35"/>
      <c r="K598" s="35"/>
    </row>
    <row r="599" spans="7:11" ht="14.45" x14ac:dyDescent="0.35">
      <c r="G599" s="31"/>
      <c r="H599" s="31"/>
      <c r="I599" s="31"/>
      <c r="J599" s="35"/>
      <c r="K599" s="35"/>
    </row>
    <row r="600" spans="7:11" ht="14.45" x14ac:dyDescent="0.35">
      <c r="G600" s="31"/>
      <c r="H600" s="31"/>
      <c r="I600" s="31"/>
      <c r="J600" s="35"/>
      <c r="K600" s="35"/>
    </row>
    <row r="601" spans="7:11" ht="14.45" x14ac:dyDescent="0.35">
      <c r="G601" s="31"/>
      <c r="H601" s="31"/>
      <c r="I601" s="31"/>
      <c r="J601" s="35"/>
      <c r="K601" s="35"/>
    </row>
    <row r="602" spans="7:11" ht="14.45" x14ac:dyDescent="0.35">
      <c r="G602" s="31"/>
      <c r="H602" s="31"/>
      <c r="I602" s="31"/>
      <c r="J602" s="35"/>
      <c r="K602" s="35"/>
    </row>
    <row r="603" spans="7:11" ht="14.45" x14ac:dyDescent="0.35">
      <c r="G603" s="31"/>
      <c r="H603" s="31"/>
      <c r="I603" s="31"/>
      <c r="J603" s="35"/>
      <c r="K603" s="35"/>
    </row>
    <row r="604" spans="7:11" ht="14.45" x14ac:dyDescent="0.35">
      <c r="G604" s="31"/>
      <c r="H604" s="31"/>
      <c r="I604" s="31"/>
      <c r="J604" s="35"/>
      <c r="K604" s="35"/>
    </row>
    <row r="605" spans="7:11" ht="14.45" x14ac:dyDescent="0.35">
      <c r="G605" s="31"/>
      <c r="H605" s="31"/>
      <c r="I605" s="31"/>
      <c r="J605" s="35"/>
      <c r="K605" s="35"/>
    </row>
    <row r="606" spans="7:11" ht="14.45" x14ac:dyDescent="0.35">
      <c r="G606" s="31"/>
      <c r="H606" s="31"/>
      <c r="I606" s="31"/>
      <c r="J606" s="35"/>
      <c r="K606" s="35"/>
    </row>
    <row r="607" spans="7:11" ht="14.45" x14ac:dyDescent="0.35">
      <c r="G607" s="31"/>
      <c r="H607" s="31"/>
      <c r="I607" s="31"/>
      <c r="J607" s="35"/>
      <c r="K607" s="35"/>
    </row>
    <row r="608" spans="7:11" ht="14.45" x14ac:dyDescent="0.35">
      <c r="G608" s="31"/>
      <c r="H608" s="31"/>
      <c r="I608" s="31"/>
      <c r="J608" s="35"/>
      <c r="K608" s="35"/>
    </row>
    <row r="609" spans="7:11" ht="14.45" x14ac:dyDescent="0.35">
      <c r="G609" s="31"/>
      <c r="H609" s="31"/>
      <c r="I609" s="31"/>
      <c r="J609" s="35"/>
      <c r="K609" s="35"/>
    </row>
    <row r="610" spans="7:11" ht="14.45" x14ac:dyDescent="0.35">
      <c r="G610" s="31"/>
      <c r="H610" s="31"/>
      <c r="I610" s="31"/>
      <c r="J610" s="35"/>
      <c r="K610" s="35"/>
    </row>
    <row r="611" spans="7:11" ht="14.45" x14ac:dyDescent="0.35">
      <c r="G611" s="31"/>
      <c r="H611" s="31"/>
      <c r="I611" s="31"/>
      <c r="J611" s="35"/>
      <c r="K611" s="35"/>
    </row>
    <row r="612" spans="7:11" ht="14.45" x14ac:dyDescent="0.35">
      <c r="G612" s="31"/>
      <c r="H612" s="31"/>
      <c r="I612" s="31"/>
      <c r="J612" s="35"/>
      <c r="K612" s="35"/>
    </row>
    <row r="613" spans="7:11" ht="14.45" x14ac:dyDescent="0.35">
      <c r="G613" s="31"/>
      <c r="H613" s="31"/>
      <c r="I613" s="31"/>
      <c r="J613" s="35"/>
      <c r="K613" s="35"/>
    </row>
    <row r="614" spans="7:11" ht="14.45" x14ac:dyDescent="0.35">
      <c r="G614" s="31"/>
      <c r="H614" s="31"/>
      <c r="I614" s="31"/>
      <c r="J614" s="35"/>
      <c r="K614" s="35"/>
    </row>
    <row r="615" spans="7:11" ht="14.45" x14ac:dyDescent="0.35">
      <c r="G615" s="31"/>
      <c r="H615" s="31"/>
      <c r="I615" s="31"/>
      <c r="J615" s="35"/>
      <c r="K615" s="35"/>
    </row>
    <row r="616" spans="7:11" ht="14.45" x14ac:dyDescent="0.35">
      <c r="G616" s="31"/>
      <c r="H616" s="31"/>
      <c r="I616" s="31"/>
      <c r="J616" s="35"/>
      <c r="K616" s="35"/>
    </row>
    <row r="617" spans="7:11" ht="14.45" x14ac:dyDescent="0.35">
      <c r="G617" s="31"/>
      <c r="H617" s="31"/>
      <c r="I617" s="31"/>
      <c r="J617" s="35"/>
      <c r="K617" s="35"/>
    </row>
    <row r="618" spans="7:11" ht="14.45" x14ac:dyDescent="0.35">
      <c r="G618" s="31"/>
      <c r="H618" s="31"/>
      <c r="I618" s="31"/>
      <c r="J618" s="35"/>
      <c r="K618" s="35"/>
    </row>
    <row r="619" spans="7:11" ht="14.45" x14ac:dyDescent="0.35">
      <c r="G619" s="31"/>
      <c r="H619" s="31"/>
      <c r="I619" s="31"/>
      <c r="J619" s="35"/>
      <c r="K619" s="35"/>
    </row>
    <row r="620" spans="7:11" ht="14.45" x14ac:dyDescent="0.35">
      <c r="G620" s="31"/>
      <c r="H620" s="31"/>
      <c r="I620" s="31"/>
      <c r="J620" s="35"/>
      <c r="K620" s="35"/>
    </row>
    <row r="621" spans="7:11" ht="14.45" x14ac:dyDescent="0.35">
      <c r="G621" s="31"/>
      <c r="H621" s="31"/>
      <c r="I621" s="31"/>
      <c r="J621" s="35"/>
      <c r="K621" s="35"/>
    </row>
    <row r="622" spans="7:11" ht="14.45" x14ac:dyDescent="0.35">
      <c r="G622" s="31"/>
      <c r="H622" s="31"/>
      <c r="I622" s="31"/>
      <c r="J622" s="35"/>
      <c r="K622" s="35"/>
    </row>
    <row r="623" spans="7:11" ht="14.45" x14ac:dyDescent="0.35">
      <c r="G623" s="31"/>
      <c r="H623" s="31"/>
      <c r="I623" s="31"/>
      <c r="J623" s="35"/>
      <c r="K623" s="35"/>
    </row>
    <row r="624" spans="7:11" ht="14.45" x14ac:dyDescent="0.35">
      <c r="G624" s="31"/>
      <c r="H624" s="31"/>
      <c r="I624" s="31"/>
      <c r="J624" s="35"/>
      <c r="K624" s="35"/>
    </row>
    <row r="625" spans="7:11" ht="14.45" x14ac:dyDescent="0.35">
      <c r="G625" s="31"/>
      <c r="H625" s="31"/>
      <c r="I625" s="31"/>
      <c r="J625" s="35"/>
      <c r="K625" s="35"/>
    </row>
    <row r="626" spans="7:11" ht="14.45" x14ac:dyDescent="0.35">
      <c r="G626" s="31"/>
      <c r="H626" s="31"/>
      <c r="I626" s="31"/>
      <c r="J626" s="35"/>
      <c r="K626" s="35"/>
    </row>
    <row r="627" spans="7:11" ht="14.45" x14ac:dyDescent="0.35">
      <c r="G627" s="31"/>
      <c r="H627" s="31"/>
      <c r="I627" s="31"/>
      <c r="J627" s="35"/>
      <c r="K627" s="35"/>
    </row>
    <row r="628" spans="7:11" ht="14.45" x14ac:dyDescent="0.35">
      <c r="G628" s="31"/>
      <c r="H628" s="31"/>
      <c r="I628" s="31"/>
      <c r="J628" s="35"/>
      <c r="K628" s="35"/>
    </row>
    <row r="629" spans="7:11" ht="14.45" x14ac:dyDescent="0.35">
      <c r="G629" s="31"/>
      <c r="H629" s="31"/>
      <c r="I629" s="31"/>
      <c r="J629" s="35"/>
      <c r="K629" s="35"/>
    </row>
    <row r="630" spans="7:11" ht="14.45" x14ac:dyDescent="0.35">
      <c r="G630" s="31"/>
      <c r="H630" s="31"/>
      <c r="I630" s="31"/>
      <c r="J630" s="35"/>
      <c r="K630" s="35"/>
    </row>
    <row r="631" spans="7:11" ht="14.45" x14ac:dyDescent="0.35">
      <c r="G631" s="31"/>
      <c r="H631" s="31"/>
      <c r="I631" s="31"/>
      <c r="J631" s="35"/>
      <c r="K631" s="35"/>
    </row>
    <row r="632" spans="7:11" ht="14.45" x14ac:dyDescent="0.35">
      <c r="G632" s="31"/>
      <c r="H632" s="31"/>
      <c r="I632" s="31"/>
      <c r="J632" s="35"/>
      <c r="K632" s="35"/>
    </row>
    <row r="633" spans="7:11" ht="14.45" x14ac:dyDescent="0.35">
      <c r="G633" s="31"/>
      <c r="H633" s="31"/>
      <c r="I633" s="31"/>
      <c r="J633" s="35"/>
      <c r="K633" s="35"/>
    </row>
    <row r="634" spans="7:11" ht="14.45" x14ac:dyDescent="0.35">
      <c r="G634" s="31"/>
      <c r="H634" s="31"/>
      <c r="I634" s="31"/>
      <c r="J634" s="35"/>
      <c r="K634" s="35"/>
    </row>
    <row r="635" spans="7:11" ht="14.45" x14ac:dyDescent="0.35">
      <c r="G635" s="31"/>
      <c r="H635" s="31"/>
      <c r="I635" s="31"/>
      <c r="J635" s="35"/>
      <c r="K635" s="35"/>
    </row>
    <row r="636" spans="7:11" ht="14.45" x14ac:dyDescent="0.35">
      <c r="G636" s="31"/>
      <c r="H636" s="31"/>
      <c r="I636" s="31"/>
      <c r="J636" s="35"/>
      <c r="K636" s="35"/>
    </row>
    <row r="637" spans="7:11" ht="14.45" x14ac:dyDescent="0.35">
      <c r="G637" s="31"/>
      <c r="H637" s="31"/>
      <c r="I637" s="31"/>
      <c r="J637" s="35"/>
      <c r="K637" s="35"/>
    </row>
    <row r="638" spans="7:11" ht="14.45" x14ac:dyDescent="0.35">
      <c r="G638" s="31"/>
      <c r="H638" s="31"/>
      <c r="I638" s="31"/>
      <c r="J638" s="35"/>
      <c r="K638" s="35"/>
    </row>
    <row r="639" spans="7:11" ht="14.45" x14ac:dyDescent="0.35">
      <c r="G639" s="31"/>
      <c r="H639" s="31"/>
      <c r="I639" s="31"/>
      <c r="J639" s="35"/>
      <c r="K639" s="35"/>
    </row>
    <row r="640" spans="7:11" ht="14.45" x14ac:dyDescent="0.35">
      <c r="G640" s="31"/>
      <c r="H640" s="31"/>
      <c r="I640" s="31"/>
      <c r="J640" s="35"/>
      <c r="K640" s="35"/>
    </row>
    <row r="641" spans="7:11" ht="14.45" x14ac:dyDescent="0.35">
      <c r="G641" s="31"/>
      <c r="H641" s="31"/>
      <c r="I641" s="31"/>
      <c r="J641" s="35"/>
      <c r="K641" s="35"/>
    </row>
  </sheetData>
  <sheetProtection algorithmName="SHA-512" hashValue="ndP4JlHgR/Lzgo/FRCXe/xpkE27lcAeZN/f15KIvNt7We/qqbbWagoZX9LQLHlZy0OEo9PmQtbme0CxRNBtPGg==" saltValue="PF7Uwu46Ixnt6CPSk93I3w==" spinCount="100000" sheet="1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70F0E-2699-4CA8-9DC0-109FC8A61ACC}">
  <dimension ref="B5:F642"/>
  <sheetViews>
    <sheetView topLeftCell="A37" workbookViewId="0">
      <selection activeCell="B57" sqref="B57"/>
    </sheetView>
  </sheetViews>
  <sheetFormatPr baseColWidth="10" defaultColWidth="11.5703125" defaultRowHeight="15" x14ac:dyDescent="0.25"/>
  <cols>
    <col min="3" max="3" width="13.42578125" customWidth="1"/>
    <col min="4" max="4" width="70.42578125" bestFit="1" customWidth="1"/>
    <col min="6" max="6" width="78.140625" bestFit="1" customWidth="1"/>
  </cols>
  <sheetData>
    <row r="5" spans="2:6" x14ac:dyDescent="0.25">
      <c r="B5" s="35" t="s">
        <v>10</v>
      </c>
      <c r="C5" s="35" t="s">
        <v>452</v>
      </c>
      <c r="D5" s="35" t="s">
        <v>453</v>
      </c>
      <c r="E5" s="34" t="s">
        <v>454</v>
      </c>
      <c r="F5" s="35" t="s">
        <v>455</v>
      </c>
    </row>
    <row r="6" spans="2:6" x14ac:dyDescent="0.25">
      <c r="B6" s="31" t="s">
        <v>456</v>
      </c>
      <c r="C6" s="31" t="s">
        <v>456</v>
      </c>
      <c r="D6" s="31" t="s">
        <v>457</v>
      </c>
      <c r="E6" s="35">
        <f>LEN(Tabla1[[#This Row],[Partida]])</f>
        <v>1</v>
      </c>
      <c r="F6" s="35" t="str">
        <f>Tabla1[[#This Row],[Partida]]&amp;" : "&amp;Tabla1[[#This Row],[Descripción larga]]</f>
        <v>1 : ACCESO A CENTRO - ETAPA 04</v>
      </c>
    </row>
    <row r="7" spans="2:6" x14ac:dyDescent="0.25">
      <c r="B7" s="31" t="s">
        <v>458</v>
      </c>
      <c r="C7" s="31" t="s">
        <v>459</v>
      </c>
      <c r="D7" s="31" t="s">
        <v>460</v>
      </c>
      <c r="E7" s="35">
        <f>LEN(Tabla1[[#This Row],[Partida]])</f>
        <v>4</v>
      </c>
      <c r="F7" s="35" t="str">
        <f>Tabla1[[#This Row],[Partida]]&amp;" : "&amp;Tabla1[[#This Row],[Descripción larga]]</f>
        <v>1-01 : SEÑALIZACION - ACCESO ETAPA 04</v>
      </c>
    </row>
    <row r="8" spans="2:6" x14ac:dyDescent="0.25">
      <c r="B8" s="31" t="s">
        <v>461</v>
      </c>
      <c r="C8" s="31" t="s">
        <v>462</v>
      </c>
      <c r="D8" s="31" t="s">
        <v>463</v>
      </c>
      <c r="E8" s="35">
        <f>LEN(Tabla1[[#This Row],[Partida]])</f>
        <v>7</v>
      </c>
      <c r="F8" s="35" t="str">
        <f>Tabla1[[#This Row],[Partida]]&amp;" : "&amp;Tabla1[[#This Row],[Descripción larga]]</f>
        <v>1-01-01 : MATERIALES, HERR Y EQ - SEÑALIZACION - ACCESO ETAPA 04</v>
      </c>
    </row>
    <row r="9" spans="2:6" x14ac:dyDescent="0.25">
      <c r="B9" s="31" t="s">
        <v>464</v>
      </c>
      <c r="C9" s="31" t="s">
        <v>464</v>
      </c>
      <c r="D9" s="31" t="s">
        <v>465</v>
      </c>
      <c r="E9" s="35">
        <f>LEN(Tabla1[[#This Row],[Partida]])</f>
        <v>1</v>
      </c>
      <c r="F9" s="35" t="str">
        <f>Tabla1[[#This Row],[Partida]]&amp;" : "&amp;Tabla1[[#This Row],[Descripción larga]]</f>
        <v>2 : INDIRECTOS</v>
      </c>
    </row>
    <row r="10" spans="2:6" x14ac:dyDescent="0.25">
      <c r="B10" s="31" t="s">
        <v>466</v>
      </c>
      <c r="C10" s="31" t="s">
        <v>466</v>
      </c>
      <c r="D10" s="31" t="s">
        <v>467</v>
      </c>
      <c r="E10" s="35">
        <f>LEN(Tabla1[[#This Row],[Partida]])</f>
        <v>1</v>
      </c>
      <c r="F10" s="35" t="str">
        <f>Tabla1[[#This Row],[Partida]]&amp;" : "&amp;Tabla1[[#This Row],[Descripción larga]]</f>
        <v>A : GENERAL - CENTRO DISTRIBUCION</v>
      </c>
    </row>
    <row r="11" spans="2:6" x14ac:dyDescent="0.25">
      <c r="B11" s="31" t="s">
        <v>468</v>
      </c>
      <c r="C11" s="31" t="s">
        <v>469</v>
      </c>
      <c r="D11" s="31" t="s">
        <v>470</v>
      </c>
      <c r="E11" s="35">
        <f>LEN(Tabla1[[#This Row],[Partida]])</f>
        <v>4</v>
      </c>
      <c r="F11" s="35" t="str">
        <f>Tabla1[[#This Row],[Partida]]&amp;" : "&amp;Tabla1[[#This Row],[Descripción larga]]</f>
        <v>A-01 : PROYECTO EJECUTIVO - GENERAL</v>
      </c>
    </row>
    <row r="12" spans="2:6" x14ac:dyDescent="0.25">
      <c r="B12" s="31" t="s">
        <v>471</v>
      </c>
      <c r="C12" s="31" t="s">
        <v>472</v>
      </c>
      <c r="D12" s="31" t="s">
        <v>473</v>
      </c>
      <c r="E12" s="35">
        <f>LEN(Tabla1[[#This Row],[Partida]])</f>
        <v>7</v>
      </c>
      <c r="F12" s="35" t="str">
        <f>Tabla1[[#This Row],[Partida]]&amp;" : "&amp;Tabla1[[#This Row],[Descripción larga]]</f>
        <v>A-01-01 : SUBCONTRATOS - PROYECTO EJECUTIVO - GRAL</v>
      </c>
    </row>
    <row r="13" spans="2:6" x14ac:dyDescent="0.25">
      <c r="B13" s="31" t="s">
        <v>474</v>
      </c>
      <c r="C13" s="31" t="s">
        <v>475</v>
      </c>
      <c r="D13" s="31" t="s">
        <v>476</v>
      </c>
      <c r="E13" s="35">
        <f>LEN(Tabla1[[#This Row],[Partida]])</f>
        <v>4</v>
      </c>
      <c r="F13" s="35" t="str">
        <f>Tabla1[[#This Row],[Partida]]&amp;" : "&amp;Tabla1[[#This Row],[Descripción larga]]</f>
        <v>A-02 : DEMOLICIONES - GENERAL</v>
      </c>
    </row>
    <row r="14" spans="2:6" x14ac:dyDescent="0.25">
      <c r="B14" s="31" t="s">
        <v>477</v>
      </c>
      <c r="C14" s="31" t="s">
        <v>478</v>
      </c>
      <c r="D14" s="31" t="s">
        <v>479</v>
      </c>
      <c r="E14" s="35">
        <f>LEN(Tabla1[[#This Row],[Partida]])</f>
        <v>7</v>
      </c>
      <c r="F14" s="35" t="str">
        <f>Tabla1[[#This Row],[Partida]]&amp;" : "&amp;Tabla1[[#This Row],[Descripción larga]]</f>
        <v>A-02-01 : SUBCONTRATOS - DEMOLICIONES - GRAL</v>
      </c>
    </row>
    <row r="15" spans="2:6" x14ac:dyDescent="0.25">
      <c r="B15" s="31" t="s">
        <v>480</v>
      </c>
      <c r="C15" s="31" t="s">
        <v>481</v>
      </c>
      <c r="D15" s="31" t="s">
        <v>482</v>
      </c>
      <c r="E15" s="35">
        <f>LEN(Tabla1[[#This Row],[Partida]])</f>
        <v>4</v>
      </c>
      <c r="F15" s="35" t="str">
        <f>Tabla1[[#This Row],[Partida]]&amp;" : "&amp;Tabla1[[#This Row],[Descripción larga]]</f>
        <v>A-03 : PRELIMINARES - GENERAL</v>
      </c>
    </row>
    <row r="16" spans="2:6" x14ac:dyDescent="0.25">
      <c r="B16" s="31" t="s">
        <v>483</v>
      </c>
      <c r="C16" s="31" t="s">
        <v>484</v>
      </c>
      <c r="D16" s="31" t="s">
        <v>485</v>
      </c>
      <c r="E16" s="35">
        <f>LEN(Tabla1[[#This Row],[Partida]])</f>
        <v>7</v>
      </c>
      <c r="F16" s="35" t="str">
        <f>Tabla1[[#This Row],[Partida]]&amp;" : "&amp;Tabla1[[#This Row],[Descripción larga]]</f>
        <v>A-03-01 : MATERIALES, HERR Y EQ - PRELIMINARES - GRAL</v>
      </c>
    </row>
    <row r="17" spans="2:6" x14ac:dyDescent="0.25">
      <c r="B17" s="31" t="s">
        <v>486</v>
      </c>
      <c r="C17" s="31" t="s">
        <v>487</v>
      </c>
      <c r="D17" s="31" t="s">
        <v>488</v>
      </c>
      <c r="E17" s="35">
        <f>LEN(Tabla1[[#This Row],[Partida]])</f>
        <v>7</v>
      </c>
      <c r="F17" s="35" t="str">
        <f>Tabla1[[#This Row],[Partida]]&amp;" : "&amp;Tabla1[[#This Row],[Descripción larga]]</f>
        <v>A-03-02 : MO - PRELIMINARES - GRAL</v>
      </c>
    </row>
    <row r="18" spans="2:6" x14ac:dyDescent="0.25">
      <c r="B18" s="31" t="s">
        <v>489</v>
      </c>
      <c r="C18" s="31" t="s">
        <v>490</v>
      </c>
      <c r="D18" s="31" t="s">
        <v>491</v>
      </c>
      <c r="E18" s="35">
        <f>LEN(Tabla1[[#This Row],[Partida]])</f>
        <v>7</v>
      </c>
      <c r="F18" s="35" t="str">
        <f>Tabla1[[#This Row],[Partida]]&amp;" : "&amp;Tabla1[[#This Row],[Descripción larga]]</f>
        <v>A-03-03 : SERVICIOS PROFESIONALES - PRELIMINARES - GRAL</v>
      </c>
    </row>
    <row r="19" spans="2:6" x14ac:dyDescent="0.25">
      <c r="B19" s="31" t="s">
        <v>492</v>
      </c>
      <c r="C19" s="31" t="s">
        <v>493</v>
      </c>
      <c r="D19" s="31" t="s">
        <v>494</v>
      </c>
      <c r="E19" s="35">
        <f>LEN(Tabla1[[#This Row],[Partida]])</f>
        <v>7</v>
      </c>
      <c r="F19" s="35" t="str">
        <f>Tabla1[[#This Row],[Partida]]&amp;" : "&amp;Tabla1[[#This Row],[Descripción larga]]</f>
        <v>A-03-04 : SUBCONTRATOS - PRELIMINARES - GRAL</v>
      </c>
    </row>
    <row r="20" spans="2:6" x14ac:dyDescent="0.25">
      <c r="B20" s="31" t="s">
        <v>495</v>
      </c>
      <c r="C20" s="31" t="s">
        <v>496</v>
      </c>
      <c r="D20" s="31" t="s">
        <v>497</v>
      </c>
      <c r="E20" s="35">
        <f>LEN(Tabla1[[#This Row],[Partida]])</f>
        <v>4</v>
      </c>
      <c r="F20" s="35" t="str">
        <f>Tabla1[[#This Row],[Partida]]&amp;" : "&amp;Tabla1[[#This Row],[Descripción larga]]</f>
        <v>A-04 : ESTRUCTURA CONCRETO - GENERAL</v>
      </c>
    </row>
    <row r="21" spans="2:6" x14ac:dyDescent="0.25">
      <c r="B21" s="31" t="s">
        <v>498</v>
      </c>
      <c r="C21" s="31" t="s">
        <v>499</v>
      </c>
      <c r="D21" s="31" t="s">
        <v>500</v>
      </c>
      <c r="E21" s="35">
        <f>LEN(Tabla1[[#This Row],[Partida]])</f>
        <v>7</v>
      </c>
      <c r="F21" s="35" t="str">
        <f>Tabla1[[#This Row],[Partida]]&amp;" : "&amp;Tabla1[[#This Row],[Descripción larga]]</f>
        <v>A-04-01 : MATERIALES, HERR Y EQ - ESTRUCTURA CONCRETO - GRAL</v>
      </c>
    </row>
    <row r="22" spans="2:6" x14ac:dyDescent="0.25">
      <c r="B22" s="31" t="s">
        <v>501</v>
      </c>
      <c r="C22" s="31" t="s">
        <v>502</v>
      </c>
      <c r="D22" s="31" t="s">
        <v>503</v>
      </c>
      <c r="E22" s="35">
        <f>LEN(Tabla1[[#This Row],[Partida]])</f>
        <v>7</v>
      </c>
      <c r="F22" s="35" t="str">
        <f>Tabla1[[#This Row],[Partida]]&amp;" : "&amp;Tabla1[[#This Row],[Descripción larga]]</f>
        <v>A-04-02 : MO - ESTRUCTURA CONCRETO - GRAL</v>
      </c>
    </row>
    <row r="23" spans="2:6" x14ac:dyDescent="0.25">
      <c r="B23" s="31" t="s">
        <v>504</v>
      </c>
      <c r="C23" s="31" t="s">
        <v>505</v>
      </c>
      <c r="D23" s="31" t="s">
        <v>506</v>
      </c>
      <c r="E23" s="35">
        <f>LEN(Tabla1[[#This Row],[Partida]])</f>
        <v>4</v>
      </c>
      <c r="F23" s="35" t="str">
        <f>Tabla1[[#This Row],[Partida]]&amp;" : "&amp;Tabla1[[#This Row],[Descripción larga]]</f>
        <v>A-05 : ALBAÑILERIAS - GENERAL</v>
      </c>
    </row>
    <row r="24" spans="2:6" x14ac:dyDescent="0.25">
      <c r="B24" s="31" t="s">
        <v>507</v>
      </c>
      <c r="C24" s="31" t="s">
        <v>508</v>
      </c>
      <c r="D24" s="31" t="s">
        <v>509</v>
      </c>
      <c r="E24" s="35">
        <f>LEN(Tabla1[[#This Row],[Partida]])</f>
        <v>7</v>
      </c>
      <c r="F24" s="35" t="str">
        <f>Tabla1[[#This Row],[Partida]]&amp;" : "&amp;Tabla1[[#This Row],[Descripción larga]]</f>
        <v>A-05-01 : MATERIALES, HERR Y EQ - ALBAÑILERIAS - GRAL</v>
      </c>
    </row>
    <row r="25" spans="2:6" x14ac:dyDescent="0.25">
      <c r="B25" s="31" t="s">
        <v>510</v>
      </c>
      <c r="C25" s="31" t="s">
        <v>511</v>
      </c>
      <c r="D25" s="31" t="s">
        <v>512</v>
      </c>
      <c r="E25" s="35">
        <f>LEN(Tabla1[[#This Row],[Partida]])</f>
        <v>7</v>
      </c>
      <c r="F25" s="35" t="str">
        <f>Tabla1[[#This Row],[Partida]]&amp;" : "&amp;Tabla1[[#This Row],[Descripción larga]]</f>
        <v>A-05-02 : MO - ALBAÑILERIAS - GRAL</v>
      </c>
    </row>
    <row r="26" spans="2:6" x14ac:dyDescent="0.25">
      <c r="B26" s="31" t="s">
        <v>513</v>
      </c>
      <c r="C26" s="31" t="s">
        <v>514</v>
      </c>
      <c r="D26" s="31" t="s">
        <v>515</v>
      </c>
      <c r="E26" s="35">
        <f>LEN(Tabla1[[#This Row],[Partida]])</f>
        <v>7</v>
      </c>
      <c r="F26" s="35" t="str">
        <f>Tabla1[[#This Row],[Partida]]&amp;" : "&amp;Tabla1[[#This Row],[Descripción larga]]</f>
        <v>A-05-03 : SERVICIOS PROFESIONALES - ALBAÑILERIAS - GRAL</v>
      </c>
    </row>
    <row r="27" spans="2:6" x14ac:dyDescent="0.25">
      <c r="B27" s="31" t="s">
        <v>516</v>
      </c>
      <c r="C27" s="31" t="s">
        <v>517</v>
      </c>
      <c r="D27" s="31" t="s">
        <v>518</v>
      </c>
      <c r="E27" s="35">
        <f>LEN(Tabla1[[#This Row],[Partida]])</f>
        <v>7</v>
      </c>
      <c r="F27" s="35" t="str">
        <f>Tabla1[[#This Row],[Partida]]&amp;" : "&amp;Tabla1[[#This Row],[Descripción larga]]</f>
        <v>A-05-04 : SUBCONTRATOS - ALBAÑILERIAS - GRAL</v>
      </c>
    </row>
    <row r="28" spans="2:6" x14ac:dyDescent="0.25">
      <c r="B28" s="31" t="s">
        <v>519</v>
      </c>
      <c r="C28" s="31" t="s">
        <v>520</v>
      </c>
      <c r="D28" s="31" t="s">
        <v>521</v>
      </c>
      <c r="E28" s="35">
        <f>LEN(Tabla1[[#This Row],[Partida]])</f>
        <v>4</v>
      </c>
      <c r="F28" s="35" t="str">
        <f>Tabla1[[#This Row],[Partida]]&amp;" : "&amp;Tabla1[[#This Row],[Descripción larga]]</f>
        <v>A-06 : ESTRUCTURA METALICA - GENERAL</v>
      </c>
    </row>
    <row r="29" spans="2:6" x14ac:dyDescent="0.25">
      <c r="B29" s="31" t="s">
        <v>522</v>
      </c>
      <c r="C29" s="31" t="s">
        <v>523</v>
      </c>
      <c r="D29" s="31" t="s">
        <v>524</v>
      </c>
      <c r="E29" s="35">
        <f>LEN(Tabla1[[#This Row],[Partida]])</f>
        <v>7</v>
      </c>
      <c r="F29" s="35" t="str">
        <f>Tabla1[[#This Row],[Partida]]&amp;" : "&amp;Tabla1[[#This Row],[Descripción larga]]</f>
        <v>A-06-01 : SUBCONTRATOS - EM - GRAL</v>
      </c>
    </row>
    <row r="30" spans="2:6" x14ac:dyDescent="0.25">
      <c r="B30" s="31" t="s">
        <v>525</v>
      </c>
      <c r="C30" s="31" t="s">
        <v>526</v>
      </c>
      <c r="D30" s="31" t="s">
        <v>527</v>
      </c>
      <c r="E30" s="35">
        <f>LEN(Tabla1[[#This Row],[Partida]])</f>
        <v>4</v>
      </c>
      <c r="F30" s="35" t="str">
        <f>Tabla1[[#This Row],[Partida]]&amp;" : "&amp;Tabla1[[#This Row],[Descripción larga]]</f>
        <v>A-07 : ALBAÑILERIAS EXTERIOR - GENERAL</v>
      </c>
    </row>
    <row r="31" spans="2:6" x14ac:dyDescent="0.25">
      <c r="B31" s="31" t="s">
        <v>528</v>
      </c>
      <c r="C31" s="31" t="s">
        <v>529</v>
      </c>
      <c r="D31" s="31" t="s">
        <v>530</v>
      </c>
      <c r="E31" s="35">
        <f>LEN(Tabla1[[#This Row],[Partida]])</f>
        <v>7</v>
      </c>
      <c r="F31" s="35" t="str">
        <f>Tabla1[[#This Row],[Partida]]&amp;" : "&amp;Tabla1[[#This Row],[Descripción larga]]</f>
        <v>A-07-01 : MATERIALES, HERR Y EQ - EM - GRAL</v>
      </c>
    </row>
    <row r="32" spans="2:6" x14ac:dyDescent="0.25">
      <c r="B32" s="31" t="s">
        <v>531</v>
      </c>
      <c r="C32" s="31" t="s">
        <v>532</v>
      </c>
      <c r="D32" s="31" t="s">
        <v>533</v>
      </c>
      <c r="E32" s="35">
        <f>LEN(Tabla1[[#This Row],[Partida]])</f>
        <v>7</v>
      </c>
      <c r="F32" s="35" t="str">
        <f>Tabla1[[#This Row],[Partida]]&amp;" : "&amp;Tabla1[[#This Row],[Descripción larga]]</f>
        <v>A-07-02 : MO - EM - GRAL</v>
      </c>
    </row>
    <row r="33" spans="2:6" x14ac:dyDescent="0.25">
      <c r="B33" s="31" t="s">
        <v>534</v>
      </c>
      <c r="C33" s="31" t="s">
        <v>535</v>
      </c>
      <c r="D33" s="31" t="s">
        <v>524</v>
      </c>
      <c r="E33" s="35">
        <f>LEN(Tabla1[[#This Row],[Partida]])</f>
        <v>7</v>
      </c>
      <c r="F33" s="35" t="str">
        <f>Tabla1[[#This Row],[Partida]]&amp;" : "&amp;Tabla1[[#This Row],[Descripción larga]]</f>
        <v>A-07-03 : SUBCONTRATOS - EM - GRAL</v>
      </c>
    </row>
    <row r="34" spans="2:6" x14ac:dyDescent="0.25">
      <c r="B34" s="31" t="s">
        <v>536</v>
      </c>
      <c r="C34" s="31" t="s">
        <v>537</v>
      </c>
      <c r="D34" s="31" t="s">
        <v>538</v>
      </c>
      <c r="E34" s="35">
        <f>LEN(Tabla1[[#This Row],[Partida]])</f>
        <v>4</v>
      </c>
      <c r="F34" s="35" t="str">
        <f>Tabla1[[#This Row],[Partida]]&amp;" : "&amp;Tabla1[[#This Row],[Descripción larga]]</f>
        <v>A-08 : PAVIMENTOS EXTERIORES - GENERAL</v>
      </c>
    </row>
    <row r="35" spans="2:6" x14ac:dyDescent="0.25">
      <c r="B35" s="31" t="s">
        <v>539</v>
      </c>
      <c r="C35" s="31" t="s">
        <v>540</v>
      </c>
      <c r="D35" s="31" t="s">
        <v>541</v>
      </c>
      <c r="E35" s="35">
        <f>LEN(Tabla1[[#This Row],[Partida]])</f>
        <v>7</v>
      </c>
      <c r="F35" s="35" t="str">
        <f>Tabla1[[#This Row],[Partida]]&amp;" : "&amp;Tabla1[[#This Row],[Descripción larga]]</f>
        <v>A-08-01 : MATERIALES, HERR Y EQ - PAVIMENTOS - GRAL</v>
      </c>
    </row>
    <row r="36" spans="2:6" x14ac:dyDescent="0.25">
      <c r="B36" s="31" t="s">
        <v>542</v>
      </c>
      <c r="C36" s="31" t="s">
        <v>543</v>
      </c>
      <c r="D36" s="31" t="s">
        <v>544</v>
      </c>
      <c r="E36" s="35">
        <f>LEN(Tabla1[[#This Row],[Partida]])</f>
        <v>7</v>
      </c>
      <c r="F36" s="35" t="str">
        <f>Tabla1[[#This Row],[Partida]]&amp;" : "&amp;Tabla1[[#This Row],[Descripción larga]]</f>
        <v>A-08-02 : MO - PAVIMENTOS - GRAL</v>
      </c>
    </row>
    <row r="37" spans="2:6" x14ac:dyDescent="0.25">
      <c r="B37" s="31" t="s">
        <v>545</v>
      </c>
      <c r="C37" s="31" t="s">
        <v>546</v>
      </c>
      <c r="D37" s="31" t="s">
        <v>547</v>
      </c>
      <c r="E37" s="35">
        <f>LEN(Tabla1[[#This Row],[Partida]])</f>
        <v>7</v>
      </c>
      <c r="F37" s="35" t="str">
        <f>Tabla1[[#This Row],[Partida]]&amp;" : "&amp;Tabla1[[#This Row],[Descripción larga]]</f>
        <v>A-08-03 : SERVICIOS PROFESIONALES - PAVIMENTOS - GRAL</v>
      </c>
    </row>
    <row r="38" spans="2:6" x14ac:dyDescent="0.25">
      <c r="B38" s="31" t="s">
        <v>548</v>
      </c>
      <c r="C38" s="31" t="s">
        <v>549</v>
      </c>
      <c r="D38" s="31" t="s">
        <v>550</v>
      </c>
      <c r="E38" s="35">
        <f>LEN(Tabla1[[#This Row],[Partida]])</f>
        <v>7</v>
      </c>
      <c r="F38" s="35" t="str">
        <f>Tabla1[[#This Row],[Partida]]&amp;" : "&amp;Tabla1[[#This Row],[Descripción larga]]</f>
        <v>A-08-04 : SUBCONTRATOS - PAVIMENTOS - GRAL</v>
      </c>
    </row>
    <row r="39" spans="2:6" x14ac:dyDescent="0.25">
      <c r="B39" s="31" t="s">
        <v>551</v>
      </c>
      <c r="C39" s="31" t="s">
        <v>552</v>
      </c>
      <c r="D39" s="31" t="s">
        <v>553</v>
      </c>
      <c r="E39" s="35">
        <f>LEN(Tabla1[[#This Row],[Partida]])</f>
        <v>4</v>
      </c>
      <c r="F39" s="35" t="str">
        <f>Tabla1[[#This Row],[Partida]]&amp;" : "&amp;Tabla1[[#This Row],[Descripción larga]]</f>
        <v>A-09 : SEÑALIZACION - GENERAL</v>
      </c>
    </row>
    <row r="40" spans="2:6" x14ac:dyDescent="0.25">
      <c r="B40" s="31" t="s">
        <v>554</v>
      </c>
      <c r="C40" s="31" t="s">
        <v>555</v>
      </c>
      <c r="D40" s="31" t="s">
        <v>556</v>
      </c>
      <c r="E40" s="35">
        <f>LEN(Tabla1[[#This Row],[Partida]])</f>
        <v>7</v>
      </c>
      <c r="F40" s="35" t="str">
        <f>Tabla1[[#This Row],[Partida]]&amp;" : "&amp;Tabla1[[#This Row],[Descripción larga]]</f>
        <v>A-09-01 : MATERIALES, HERR Y EQ - SEÑALIZACION - GRAL</v>
      </c>
    </row>
    <row r="41" spans="2:6" x14ac:dyDescent="0.25">
      <c r="B41" s="31" t="s">
        <v>557</v>
      </c>
      <c r="C41" s="31" t="s">
        <v>558</v>
      </c>
      <c r="D41" s="31" t="s">
        <v>559</v>
      </c>
      <c r="E41" s="35">
        <f>LEN(Tabla1[[#This Row],[Partida]])</f>
        <v>7</v>
      </c>
      <c r="F41" s="35" t="str">
        <f>Tabla1[[#This Row],[Partida]]&amp;" : "&amp;Tabla1[[#This Row],[Descripción larga]]</f>
        <v>A-09-02 : MO - SEÑALIZACION - GRAL</v>
      </c>
    </row>
    <row r="42" spans="2:6" x14ac:dyDescent="0.25">
      <c r="B42" s="31" t="s">
        <v>560</v>
      </c>
      <c r="C42" s="31" t="s">
        <v>561</v>
      </c>
      <c r="D42" s="31" t="s">
        <v>562</v>
      </c>
      <c r="E42" s="35">
        <f>LEN(Tabla1[[#This Row],[Partida]])</f>
        <v>7</v>
      </c>
      <c r="F42" s="35" t="str">
        <f>Tabla1[[#This Row],[Partida]]&amp;" : "&amp;Tabla1[[#This Row],[Descripción larga]]</f>
        <v>A-09-03 : SUBCONTRATOS - SEÑALIZACION - GRAL</v>
      </c>
    </row>
    <row r="43" spans="2:6" x14ac:dyDescent="0.25">
      <c r="B43" s="31" t="s">
        <v>563</v>
      </c>
      <c r="C43" s="31" t="s">
        <v>564</v>
      </c>
      <c r="D43" s="31" t="s">
        <v>565</v>
      </c>
      <c r="E43" s="35">
        <f>LEN(Tabla1[[#This Row],[Partida]])</f>
        <v>4</v>
      </c>
      <c r="F43" s="35" t="str">
        <f>Tabla1[[#This Row],[Partida]]&amp;" : "&amp;Tabla1[[#This Row],[Descripción larga]]</f>
        <v>A-10 : JARDINERIA - GENERAL</v>
      </c>
    </row>
    <row r="44" spans="2:6" x14ac:dyDescent="0.25">
      <c r="B44" s="31" t="s">
        <v>566</v>
      </c>
      <c r="C44" s="31" t="s">
        <v>567</v>
      </c>
      <c r="D44" s="31" t="s">
        <v>568</v>
      </c>
      <c r="E44" s="35">
        <f>LEN(Tabla1[[#This Row],[Partida]])</f>
        <v>7</v>
      </c>
      <c r="F44" s="35" t="str">
        <f>Tabla1[[#This Row],[Partida]]&amp;" : "&amp;Tabla1[[#This Row],[Descripción larga]]</f>
        <v>A-10-01 : MATERIALES, HERR Y EQ - JARDINERIA - GRAL</v>
      </c>
    </row>
    <row r="45" spans="2:6" x14ac:dyDescent="0.25">
      <c r="B45" s="31" t="s">
        <v>569</v>
      </c>
      <c r="C45" s="31" t="s">
        <v>570</v>
      </c>
      <c r="D45" s="31" t="s">
        <v>571</v>
      </c>
      <c r="E45" s="35">
        <f>LEN(Tabla1[[#This Row],[Partida]])</f>
        <v>7</v>
      </c>
      <c r="F45" s="35" t="str">
        <f>Tabla1[[#This Row],[Partida]]&amp;" : "&amp;Tabla1[[#This Row],[Descripción larga]]</f>
        <v>A-10-02 : MO - JARDINERIA - GRAL</v>
      </c>
    </row>
    <row r="46" spans="2:6" x14ac:dyDescent="0.25">
      <c r="B46" s="31" t="s">
        <v>572</v>
      </c>
      <c r="C46" s="31" t="s">
        <v>573</v>
      </c>
      <c r="D46" s="31" t="s">
        <v>574</v>
      </c>
      <c r="E46" s="35">
        <f>LEN(Tabla1[[#This Row],[Partida]])</f>
        <v>7</v>
      </c>
      <c r="F46" s="35" t="str">
        <f>Tabla1[[#This Row],[Partida]]&amp;" : "&amp;Tabla1[[#This Row],[Descripción larga]]</f>
        <v>A-10-03 : SERVICIOS PROFESIONALES - JARDINERIA - GRAL</v>
      </c>
    </row>
    <row r="47" spans="2:6" x14ac:dyDescent="0.25">
      <c r="B47" s="31" t="s">
        <v>575</v>
      </c>
      <c r="C47" s="31" t="s">
        <v>576</v>
      </c>
      <c r="D47" s="31" t="s">
        <v>577</v>
      </c>
      <c r="E47" s="35">
        <f>LEN(Tabla1[[#This Row],[Partida]])</f>
        <v>4</v>
      </c>
      <c r="F47" s="35" t="str">
        <f>Tabla1[[#This Row],[Partida]]&amp;" : "&amp;Tabla1[[#This Row],[Descripción larga]]</f>
        <v>A-11 : INSTALACIONES - GENERAL</v>
      </c>
    </row>
    <row r="48" spans="2:6" x14ac:dyDescent="0.25">
      <c r="B48" s="31" t="s">
        <v>578</v>
      </c>
      <c r="C48" s="31" t="s">
        <v>579</v>
      </c>
      <c r="D48" s="31" t="s">
        <v>580</v>
      </c>
      <c r="E48" s="35">
        <f>LEN(Tabla1[[#This Row],[Partida]])</f>
        <v>7</v>
      </c>
      <c r="F48" s="35" t="str">
        <f>Tabla1[[#This Row],[Partida]]&amp;" : "&amp;Tabla1[[#This Row],[Descripción larga]]</f>
        <v>A-11-01 : MATERIALES, HERR Y EQ - INSTALACIONES - GRAL</v>
      </c>
    </row>
    <row r="49" spans="2:6" x14ac:dyDescent="0.25">
      <c r="B49" s="31" t="s">
        <v>581</v>
      </c>
      <c r="C49" s="31" t="s">
        <v>582</v>
      </c>
      <c r="D49" s="31" t="s">
        <v>583</v>
      </c>
      <c r="E49" s="35">
        <f>LEN(Tabla1[[#This Row],[Partida]])</f>
        <v>7</v>
      </c>
      <c r="F49" s="35" t="str">
        <f>Tabla1[[#This Row],[Partida]]&amp;" : "&amp;Tabla1[[#This Row],[Descripción larga]]</f>
        <v>A-11-02 : MO - INSTALACIONES - GRAL</v>
      </c>
    </row>
    <row r="50" spans="2:6" x14ac:dyDescent="0.25">
      <c r="B50" s="31" t="s">
        <v>584</v>
      </c>
      <c r="C50" s="31" t="s">
        <v>585</v>
      </c>
      <c r="D50" s="31" t="s">
        <v>586</v>
      </c>
      <c r="E50" s="35">
        <f>LEN(Tabla1[[#This Row],[Partida]])</f>
        <v>7</v>
      </c>
      <c r="F50" s="35" t="str">
        <f>Tabla1[[#This Row],[Partida]]&amp;" : "&amp;Tabla1[[#This Row],[Descripción larga]]</f>
        <v>A-11-03 : SERVICIOS PROFESIONALES - INSTALACIONES - GRAL</v>
      </c>
    </row>
    <row r="51" spans="2:6" x14ac:dyDescent="0.25">
      <c r="B51" s="31" t="s">
        <v>587</v>
      </c>
      <c r="C51" s="31" t="s">
        <v>588</v>
      </c>
      <c r="D51" s="31" t="s">
        <v>589</v>
      </c>
      <c r="E51" s="35">
        <f>LEN(Tabla1[[#This Row],[Partida]])</f>
        <v>7</v>
      </c>
      <c r="F51" s="35" t="str">
        <f>Tabla1[[#This Row],[Partida]]&amp;" : "&amp;Tabla1[[#This Row],[Descripción larga]]</f>
        <v>A-11-04 : SUBCONTRATOS - INSTALACIONES - GRAL</v>
      </c>
    </row>
    <row r="52" spans="2:6" x14ac:dyDescent="0.25">
      <c r="B52" s="31" t="s">
        <v>590</v>
      </c>
      <c r="C52" s="31" t="s">
        <v>590</v>
      </c>
      <c r="D52" s="31" t="s">
        <v>591</v>
      </c>
      <c r="E52" s="35">
        <f>LEN(Tabla1[[#This Row],[Partida]])</f>
        <v>1</v>
      </c>
      <c r="F52" s="35" t="str">
        <f>Tabla1[[#This Row],[Partida]]&amp;" : "&amp;Tabla1[[#This Row],[Descripción larga]]</f>
        <v>B : NAVE PRINCIPAL - CENTRO DISTRIBUCION</v>
      </c>
    </row>
    <row r="53" spans="2:6" x14ac:dyDescent="0.25">
      <c r="B53" s="31" t="s">
        <v>592</v>
      </c>
      <c r="C53" s="31" t="s">
        <v>593</v>
      </c>
      <c r="D53" s="31" t="s">
        <v>594</v>
      </c>
      <c r="E53" s="35">
        <f>LEN(Tabla1[[#This Row],[Partida]])</f>
        <v>4</v>
      </c>
      <c r="F53" s="35" t="str">
        <f>Tabla1[[#This Row],[Partida]]&amp;" : "&amp;Tabla1[[#This Row],[Descripción larga]]</f>
        <v>B-01 : PRELIMINARES - NAVE PRINCIPAL</v>
      </c>
    </row>
    <row r="54" spans="2:6" x14ac:dyDescent="0.25">
      <c r="B54" s="31" t="s">
        <v>595</v>
      </c>
      <c r="C54" s="31" t="s">
        <v>596</v>
      </c>
      <c r="D54" s="31" t="s">
        <v>596</v>
      </c>
      <c r="E54" s="35">
        <f>LEN(Tabla1[[#This Row],[Partida]])</f>
        <v>7</v>
      </c>
      <c r="F54" s="35" t="str">
        <f>Tabla1[[#This Row],[Partida]]&amp;" : "&amp;Tabla1[[#This Row],[Descripción larga]]</f>
        <v>B-01-03 : B0103</v>
      </c>
    </row>
    <row r="55" spans="2:6" x14ac:dyDescent="0.25">
      <c r="B55" s="31" t="s">
        <v>597</v>
      </c>
      <c r="C55" s="31" t="s">
        <v>598</v>
      </c>
      <c r="D55" s="31" t="s">
        <v>599</v>
      </c>
      <c r="E55" s="35">
        <f>LEN(Tabla1[[#This Row],[Partida]])</f>
        <v>7</v>
      </c>
      <c r="F55" s="35" t="str">
        <f>Tabla1[[#This Row],[Partida]]&amp;" : "&amp;Tabla1[[#This Row],[Descripción larga]]</f>
        <v>B-01-04 : SUBCONTRATOS - PRELIMINARES - NAVE</v>
      </c>
    </row>
    <row r="56" spans="2:6" x14ac:dyDescent="0.25">
      <c r="B56" s="31" t="s">
        <v>600</v>
      </c>
      <c r="C56" s="31" t="s">
        <v>601</v>
      </c>
      <c r="D56" s="31" t="s">
        <v>602</v>
      </c>
      <c r="E56" s="35">
        <f>LEN(Tabla1[[#This Row],[Partida]])</f>
        <v>4</v>
      </c>
      <c r="F56" s="35" t="str">
        <f>Tabla1[[#This Row],[Partida]]&amp;" : "&amp;Tabla1[[#This Row],[Descripción larga]]</f>
        <v>B-02 : CIMENTACION  - NAVE</v>
      </c>
    </row>
    <row r="57" spans="2:6" x14ac:dyDescent="0.25">
      <c r="B57" s="31" t="s">
        <v>603</v>
      </c>
      <c r="C57" s="31" t="s">
        <v>604</v>
      </c>
      <c r="D57" s="31" t="s">
        <v>605</v>
      </c>
      <c r="E57" s="35">
        <f>LEN(Tabla1[[#This Row],[Partida]])</f>
        <v>7</v>
      </c>
      <c r="F57" s="35" t="str">
        <f>Tabla1[[#This Row],[Partida]]&amp;" : "&amp;Tabla1[[#This Row],[Descripción larga]]</f>
        <v>B-02-01 : MATERIALES, HERR Y EQ - CIMENTACION - NAVE</v>
      </c>
    </row>
    <row r="58" spans="2:6" x14ac:dyDescent="0.25">
      <c r="B58" s="31" t="s">
        <v>606</v>
      </c>
      <c r="C58" s="31" t="s">
        <v>607</v>
      </c>
      <c r="D58" s="31" t="s">
        <v>608</v>
      </c>
      <c r="E58" s="35">
        <f>LEN(Tabla1[[#This Row],[Partida]])</f>
        <v>7</v>
      </c>
      <c r="F58" s="35" t="str">
        <f>Tabla1[[#This Row],[Partida]]&amp;" : "&amp;Tabla1[[#This Row],[Descripción larga]]</f>
        <v>B-02-02 : MO - CIMENTACION - NAVE</v>
      </c>
    </row>
    <row r="59" spans="2:6" x14ac:dyDescent="0.25">
      <c r="B59" s="31" t="s">
        <v>609</v>
      </c>
      <c r="C59" s="31" t="s">
        <v>610</v>
      </c>
      <c r="D59" s="31" t="s">
        <v>611</v>
      </c>
      <c r="E59" s="35">
        <f>LEN(Tabla1[[#This Row],[Partida]])</f>
        <v>7</v>
      </c>
      <c r="F59" s="35" t="str">
        <f>Tabla1[[#This Row],[Partida]]&amp;" : "&amp;Tabla1[[#This Row],[Descripción larga]]</f>
        <v>B-02-03 : SUBCONTRATOS - CIMENTACION - NAVE</v>
      </c>
    </row>
    <row r="60" spans="2:6" x14ac:dyDescent="0.25">
      <c r="B60" s="31" t="s">
        <v>612</v>
      </c>
      <c r="C60" s="31" t="s">
        <v>613</v>
      </c>
      <c r="D60" s="31" t="s">
        <v>614</v>
      </c>
      <c r="E60" s="35">
        <f>LEN(Tabla1[[#This Row],[Partida]])</f>
        <v>4</v>
      </c>
      <c r="F60" s="35" t="str">
        <f>Tabla1[[#This Row],[Partida]]&amp;" : "&amp;Tabla1[[#This Row],[Descripción larga]]</f>
        <v>B-03 : ESTRUCTURA DE CONCRETO - NAVE</v>
      </c>
    </row>
    <row r="61" spans="2:6" x14ac:dyDescent="0.25">
      <c r="B61" s="31" t="s">
        <v>615</v>
      </c>
      <c r="C61" s="31" t="s">
        <v>616</v>
      </c>
      <c r="D61" s="31" t="s">
        <v>617</v>
      </c>
      <c r="E61" s="35">
        <f>LEN(Tabla1[[#This Row],[Partida]])</f>
        <v>7</v>
      </c>
      <c r="F61" s="35" t="str">
        <f>Tabla1[[#This Row],[Partida]]&amp;" : "&amp;Tabla1[[#This Row],[Descripción larga]]</f>
        <v>B-03-01 : MATERIALES, HERR Y EQ - ESTRUCTURA DE CONCRETO - NAVE</v>
      </c>
    </row>
    <row r="62" spans="2:6" x14ac:dyDescent="0.25">
      <c r="B62" s="31" t="s">
        <v>618</v>
      </c>
      <c r="C62" s="31" t="s">
        <v>619</v>
      </c>
      <c r="D62" s="31" t="s">
        <v>620</v>
      </c>
      <c r="E62" s="35">
        <f>LEN(Tabla1[[#This Row],[Partida]])</f>
        <v>7</v>
      </c>
      <c r="F62" s="35" t="str">
        <f>Tabla1[[#This Row],[Partida]]&amp;" : "&amp;Tabla1[[#This Row],[Descripción larga]]</f>
        <v>B-03-02 : MO - ESTRUCTURA DE CONCRETO - NAVE</v>
      </c>
    </row>
    <row r="63" spans="2:6" x14ac:dyDescent="0.25">
      <c r="B63" s="31" t="s">
        <v>621</v>
      </c>
      <c r="C63" s="31" t="s">
        <v>622</v>
      </c>
      <c r="D63" s="31" t="s">
        <v>623</v>
      </c>
      <c r="E63" s="35">
        <f>LEN(Tabla1[[#This Row],[Partida]])</f>
        <v>4</v>
      </c>
      <c r="F63" s="35" t="str">
        <f>Tabla1[[#This Row],[Partida]]&amp;" : "&amp;Tabla1[[#This Row],[Descripción larga]]</f>
        <v>B-04 : PISOS - NAVE</v>
      </c>
    </row>
    <row r="64" spans="2:6" x14ac:dyDescent="0.25">
      <c r="B64" s="31" t="s">
        <v>624</v>
      </c>
      <c r="C64" s="31" t="s">
        <v>625</v>
      </c>
      <c r="D64" s="31" t="s">
        <v>626</v>
      </c>
      <c r="E64" s="35">
        <f>LEN(Tabla1[[#This Row],[Partida]])</f>
        <v>7</v>
      </c>
      <c r="F64" s="35" t="str">
        <f>Tabla1[[#This Row],[Partida]]&amp;" : "&amp;Tabla1[[#This Row],[Descripción larga]]</f>
        <v>B-04-01 : MATERIALES, HERR Y EQ - PISOS - NAVE</v>
      </c>
    </row>
    <row r="65" spans="2:6" x14ac:dyDescent="0.25">
      <c r="B65" s="31" t="s">
        <v>627</v>
      </c>
      <c r="C65" s="31" t="s">
        <v>628</v>
      </c>
      <c r="D65" s="31" t="s">
        <v>629</v>
      </c>
      <c r="E65" s="35">
        <f>LEN(Tabla1[[#This Row],[Partida]])</f>
        <v>7</v>
      </c>
      <c r="F65" s="35" t="str">
        <f>Tabla1[[#This Row],[Partida]]&amp;" : "&amp;Tabla1[[#This Row],[Descripción larga]]</f>
        <v>B-04-02 : MO- PISOS - NAVE</v>
      </c>
    </row>
    <row r="66" spans="2:6" x14ac:dyDescent="0.25">
      <c r="B66" s="31" t="s">
        <v>630</v>
      </c>
      <c r="C66" s="31" t="s">
        <v>631</v>
      </c>
      <c r="D66" s="31" t="s">
        <v>632</v>
      </c>
      <c r="E66" s="35">
        <f>LEN(Tabla1[[#This Row],[Partida]])</f>
        <v>7</v>
      </c>
      <c r="F66" s="35" t="str">
        <f>Tabla1[[#This Row],[Partida]]&amp;" : "&amp;Tabla1[[#This Row],[Descripción larga]]</f>
        <v>B-04-03 : SERVICIOS PROFESIONALES- PISOS - NAVE</v>
      </c>
    </row>
    <row r="67" spans="2:6" x14ac:dyDescent="0.25">
      <c r="B67" s="31" t="s">
        <v>633</v>
      </c>
      <c r="C67" s="31" t="s">
        <v>634</v>
      </c>
      <c r="D67" s="31" t="s">
        <v>635</v>
      </c>
      <c r="E67" s="35">
        <f>LEN(Tabla1[[#This Row],[Partida]])</f>
        <v>4</v>
      </c>
      <c r="F67" s="35" t="str">
        <f>Tabla1[[#This Row],[Partida]]&amp;" : "&amp;Tabla1[[#This Row],[Descripción larga]]</f>
        <v>B-05 : ALBAÑILERIAS - NAVE</v>
      </c>
    </row>
    <row r="68" spans="2:6" x14ac:dyDescent="0.25">
      <c r="B68" s="31" t="s">
        <v>636</v>
      </c>
      <c r="C68" s="31" t="s">
        <v>637</v>
      </c>
      <c r="D68" s="31" t="s">
        <v>638</v>
      </c>
      <c r="E68" s="35">
        <f>LEN(Tabla1[[#This Row],[Partida]])</f>
        <v>7</v>
      </c>
      <c r="F68" s="35" t="str">
        <f>Tabla1[[#This Row],[Partida]]&amp;" : "&amp;Tabla1[[#This Row],[Descripción larga]]</f>
        <v>B-05-01 : MATERIALES, HERR Y EQ - ALBAÑILERIAS - NAVE</v>
      </c>
    </row>
    <row r="69" spans="2:6" x14ac:dyDescent="0.25">
      <c r="B69" s="31" t="s">
        <v>639</v>
      </c>
      <c r="C69" s="31" t="s">
        <v>640</v>
      </c>
      <c r="D69" s="31" t="s">
        <v>641</v>
      </c>
      <c r="E69" s="35">
        <f>LEN(Tabla1[[#This Row],[Partida]])</f>
        <v>7</v>
      </c>
      <c r="F69" s="35" t="str">
        <f>Tabla1[[#This Row],[Partida]]&amp;" : "&amp;Tabla1[[#This Row],[Descripción larga]]</f>
        <v>B-05-02 : MO - ALBAÑILERIAS - NAVE</v>
      </c>
    </row>
    <row r="70" spans="2:6" x14ac:dyDescent="0.25">
      <c r="B70" s="31" t="s">
        <v>642</v>
      </c>
      <c r="C70" s="31" t="s">
        <v>643</v>
      </c>
      <c r="D70" s="31" t="s">
        <v>644</v>
      </c>
      <c r="E70" s="35">
        <f>LEN(Tabla1[[#This Row],[Partida]])</f>
        <v>7</v>
      </c>
      <c r="F70" s="35" t="str">
        <f>Tabla1[[#This Row],[Partida]]&amp;" : "&amp;Tabla1[[#This Row],[Descripción larga]]</f>
        <v>B-05-03 : SERVICIOS PROFESIONALES - ALBAÑILERIAS - NAVE</v>
      </c>
    </row>
    <row r="71" spans="2:6" x14ac:dyDescent="0.25">
      <c r="B71" s="31" t="s">
        <v>645</v>
      </c>
      <c r="C71" s="31" t="s">
        <v>646</v>
      </c>
      <c r="D71" s="31" t="s">
        <v>647</v>
      </c>
      <c r="E71" s="35">
        <f>LEN(Tabla1[[#This Row],[Partida]])</f>
        <v>7</v>
      </c>
      <c r="F71" s="35" t="str">
        <f>Tabla1[[#This Row],[Partida]]&amp;" : "&amp;Tabla1[[#This Row],[Descripción larga]]</f>
        <v>B-05-04 : SUBCONTRATOS - ALBAÑILERIAS - NAVE</v>
      </c>
    </row>
    <row r="72" spans="2:6" x14ac:dyDescent="0.25">
      <c r="B72" s="31" t="s">
        <v>648</v>
      </c>
      <c r="C72" s="31" t="s">
        <v>649</v>
      </c>
      <c r="D72" s="31" t="s">
        <v>650</v>
      </c>
      <c r="E72" s="35">
        <f>LEN(Tabla1[[#This Row],[Partida]])</f>
        <v>4</v>
      </c>
      <c r="F72" s="35" t="str">
        <f>Tabla1[[#This Row],[Partida]]&amp;" : "&amp;Tabla1[[#This Row],[Descripción larga]]</f>
        <v>B-06 : ACABADOS - NAVE</v>
      </c>
    </row>
    <row r="73" spans="2:6" x14ac:dyDescent="0.25">
      <c r="B73" s="31" t="s">
        <v>651</v>
      </c>
      <c r="C73" s="31" t="s">
        <v>652</v>
      </c>
      <c r="D73" s="31" t="s">
        <v>653</v>
      </c>
      <c r="E73" s="35">
        <f>LEN(Tabla1[[#This Row],[Partida]])</f>
        <v>7</v>
      </c>
      <c r="F73" s="35" t="str">
        <f>Tabla1[[#This Row],[Partida]]&amp;" : "&amp;Tabla1[[#This Row],[Descripción larga]]</f>
        <v>B-06-01 : SERVICIOS PROFESIONALES - ACABADOS - NAVE</v>
      </c>
    </row>
    <row r="74" spans="2:6" x14ac:dyDescent="0.25">
      <c r="B74" s="31" t="s">
        <v>654</v>
      </c>
      <c r="C74" s="31" t="s">
        <v>655</v>
      </c>
      <c r="D74" s="31" t="s">
        <v>656</v>
      </c>
      <c r="E74" s="35">
        <f>LEN(Tabla1[[#This Row],[Partida]])</f>
        <v>7</v>
      </c>
      <c r="F74" s="35" t="str">
        <f>Tabla1[[#This Row],[Partida]]&amp;" : "&amp;Tabla1[[#This Row],[Descripción larga]]</f>
        <v>B-06-02 : SUBCONTRATOS - ACABADOS - NAVE</v>
      </c>
    </row>
    <row r="75" spans="2:6" x14ac:dyDescent="0.25">
      <c r="B75" s="31" t="s">
        <v>657</v>
      </c>
      <c r="C75" s="31" t="s">
        <v>658</v>
      </c>
      <c r="D75" s="31" t="s">
        <v>659</v>
      </c>
      <c r="E75" s="35">
        <f>LEN(Tabla1[[#This Row],[Partida]])</f>
        <v>4</v>
      </c>
      <c r="F75" s="35" t="str">
        <f>Tabla1[[#This Row],[Partida]]&amp;" : "&amp;Tabla1[[#This Row],[Descripción larga]]</f>
        <v>B-07 : ESTRUCTURA METALICA - NAVE</v>
      </c>
    </row>
    <row r="76" spans="2:6" x14ac:dyDescent="0.25">
      <c r="B76" s="31" t="s">
        <v>660</v>
      </c>
      <c r="C76" s="31" t="s">
        <v>661</v>
      </c>
      <c r="D76" s="31" t="s">
        <v>662</v>
      </c>
      <c r="E76" s="35">
        <f>LEN(Tabla1[[#This Row],[Partida]])</f>
        <v>7</v>
      </c>
      <c r="F76" s="35" t="str">
        <f>Tabla1[[#This Row],[Partida]]&amp;" : "&amp;Tabla1[[#This Row],[Descripción larga]]</f>
        <v>B-07-01 : SUBCONTRATOS - EM - NAVE</v>
      </c>
    </row>
    <row r="77" spans="2:6" x14ac:dyDescent="0.25">
      <c r="B77" s="31" t="s">
        <v>663</v>
      </c>
      <c r="C77" s="31" t="s">
        <v>664</v>
      </c>
      <c r="D77" s="31" t="s">
        <v>665</v>
      </c>
      <c r="E77" s="35">
        <f>LEN(Tabla1[[#This Row],[Partida]])</f>
        <v>4</v>
      </c>
      <c r="F77" s="35" t="str">
        <f>Tabla1[[#This Row],[Partida]]&amp;" : "&amp;Tabla1[[#This Row],[Descripción larga]]</f>
        <v>B-08 : TECHUMBRE O CUBIERTA  - NAVE</v>
      </c>
    </row>
    <row r="78" spans="2:6" x14ac:dyDescent="0.25">
      <c r="B78" s="31" t="s">
        <v>666</v>
      </c>
      <c r="C78" s="31" t="s">
        <v>667</v>
      </c>
      <c r="D78" s="31" t="s">
        <v>668</v>
      </c>
      <c r="E78" s="35">
        <f>LEN(Tabla1[[#This Row],[Partida]])</f>
        <v>7</v>
      </c>
      <c r="F78" s="35" t="str">
        <f>Tabla1[[#This Row],[Partida]]&amp;" : "&amp;Tabla1[[#This Row],[Descripción larga]]</f>
        <v>B-08-01 : SERVICIOS PROFESIONALES - CUBIERTA - NAVE</v>
      </c>
    </row>
    <row r="79" spans="2:6" x14ac:dyDescent="0.25">
      <c r="B79" s="31" t="s">
        <v>669</v>
      </c>
      <c r="C79" s="31" t="s">
        <v>670</v>
      </c>
      <c r="D79" s="31" t="s">
        <v>671</v>
      </c>
      <c r="E79" s="35">
        <f>LEN(Tabla1[[#This Row],[Partida]])</f>
        <v>7</v>
      </c>
      <c r="F79" s="35" t="str">
        <f>Tabla1[[#This Row],[Partida]]&amp;" : "&amp;Tabla1[[#This Row],[Descripción larga]]</f>
        <v>B-08-02 : SUBCONTRATOS - CUBIERTA - NAVE</v>
      </c>
    </row>
    <row r="80" spans="2:6" x14ac:dyDescent="0.25">
      <c r="B80" s="31" t="s">
        <v>672</v>
      </c>
      <c r="C80" s="31" t="s">
        <v>673</v>
      </c>
      <c r="D80" s="31" t="s">
        <v>674</v>
      </c>
      <c r="E80" s="35">
        <f>LEN(Tabla1[[#This Row],[Partida]])</f>
        <v>4</v>
      </c>
      <c r="F80" s="35" t="str">
        <f>Tabla1[[#This Row],[Partida]]&amp;" : "&amp;Tabla1[[#This Row],[Descripción larga]]</f>
        <v>B-09 : LAMINA EN FACHADA  - NAVE</v>
      </c>
    </row>
    <row r="81" spans="2:6" x14ac:dyDescent="0.25">
      <c r="B81" s="31" t="s">
        <v>675</v>
      </c>
      <c r="C81" s="31" t="s">
        <v>676</v>
      </c>
      <c r="D81" s="31" t="s">
        <v>677</v>
      </c>
      <c r="E81" s="35">
        <f>LEN(Tabla1[[#This Row],[Partida]])</f>
        <v>7</v>
      </c>
      <c r="F81" s="35" t="str">
        <f>Tabla1[[#This Row],[Partida]]&amp;" : "&amp;Tabla1[[#This Row],[Descripción larga]]</f>
        <v>B-09-01 : SUBCONTRATOS - LAMINA FACHADA - NAVE</v>
      </c>
    </row>
    <row r="82" spans="2:6" x14ac:dyDescent="0.25">
      <c r="B82" s="31" t="s">
        <v>678</v>
      </c>
      <c r="C82" s="31" t="s">
        <v>679</v>
      </c>
      <c r="D82" s="31" t="s">
        <v>680</v>
      </c>
      <c r="E82" s="35">
        <f>LEN(Tabla1[[#This Row],[Partida]])</f>
        <v>4</v>
      </c>
      <c r="F82" s="35" t="str">
        <f>Tabla1[[#This Row],[Partida]]&amp;" : "&amp;Tabla1[[#This Row],[Descripción larga]]</f>
        <v>B-10 : INSTALACIONES  - NAVE</v>
      </c>
    </row>
    <row r="83" spans="2:6" x14ac:dyDescent="0.25">
      <c r="B83" s="31" t="s">
        <v>681</v>
      </c>
      <c r="C83" s="31" t="s">
        <v>682</v>
      </c>
      <c r="D83" s="31" t="s">
        <v>683</v>
      </c>
      <c r="E83" s="35">
        <f>LEN(Tabla1[[#This Row],[Partida]])</f>
        <v>7</v>
      </c>
      <c r="F83" s="35" t="str">
        <f>Tabla1[[#This Row],[Partida]]&amp;" : "&amp;Tabla1[[#This Row],[Descripción larga]]</f>
        <v>B-10-01 : SERVICIOS PROFESIONALES - INSTALACIONES - NAVE</v>
      </c>
    </row>
    <row r="84" spans="2:6" x14ac:dyDescent="0.25">
      <c r="B84" s="31" t="s">
        <v>684</v>
      </c>
      <c r="C84" s="31" t="s">
        <v>685</v>
      </c>
      <c r="D84" s="31" t="s">
        <v>686</v>
      </c>
      <c r="E84" s="35">
        <f>LEN(Tabla1[[#This Row],[Partida]])</f>
        <v>7</v>
      </c>
      <c r="F84" s="35" t="str">
        <f>Tabla1[[#This Row],[Partida]]&amp;" : "&amp;Tabla1[[#This Row],[Descripción larga]]</f>
        <v>B-10-02 : SUBCONTRATOS - INSTALACIONES - NAVE</v>
      </c>
    </row>
    <row r="85" spans="2:6" x14ac:dyDescent="0.25">
      <c r="B85" s="31" t="s">
        <v>687</v>
      </c>
      <c r="C85" s="31" t="s">
        <v>687</v>
      </c>
      <c r="D85" s="31" t="s">
        <v>688</v>
      </c>
      <c r="E85" s="35">
        <f>LEN(Tabla1[[#This Row],[Partida]])</f>
        <v>1</v>
      </c>
      <c r="F85" s="35" t="str">
        <f>Tabla1[[#This Row],[Partida]]&amp;" : "&amp;Tabla1[[#This Row],[Descripción larga]]</f>
        <v>C : OFICINAS RECIBO - CENTRO DISTRIBUCION</v>
      </c>
    </row>
    <row r="86" spans="2:6" x14ac:dyDescent="0.25">
      <c r="B86" s="31" t="s">
        <v>689</v>
      </c>
      <c r="C86" s="31" t="s">
        <v>690</v>
      </c>
      <c r="D86" s="31" t="s">
        <v>691</v>
      </c>
      <c r="E86" s="35">
        <f>LEN(Tabla1[[#This Row],[Partida]])</f>
        <v>4</v>
      </c>
      <c r="F86" s="35" t="str">
        <f>Tabla1[[#This Row],[Partida]]&amp;" : "&amp;Tabla1[[#This Row],[Descripción larga]]</f>
        <v>C-01 : CIMENTACION - OFICINAS RECIBO</v>
      </c>
    </row>
    <row r="87" spans="2:6" x14ac:dyDescent="0.25">
      <c r="B87" s="31" t="s">
        <v>692</v>
      </c>
      <c r="C87" s="31" t="s">
        <v>693</v>
      </c>
      <c r="D87" s="31" t="s">
        <v>694</v>
      </c>
      <c r="E87" s="35">
        <f>LEN(Tabla1[[#This Row],[Partida]])</f>
        <v>7</v>
      </c>
      <c r="F87" s="35" t="str">
        <f>Tabla1[[#This Row],[Partida]]&amp;" : "&amp;Tabla1[[#This Row],[Descripción larga]]</f>
        <v>C-01-01 : MATERIALES, HERR Y EQ - CIMENTACION - OFICINAS RECIBO</v>
      </c>
    </row>
    <row r="88" spans="2:6" x14ac:dyDescent="0.25">
      <c r="B88" s="31" t="s">
        <v>695</v>
      </c>
      <c r="C88" s="31" t="s">
        <v>696</v>
      </c>
      <c r="D88" s="31" t="s">
        <v>697</v>
      </c>
      <c r="E88" s="35">
        <f>LEN(Tabla1[[#This Row],[Partida]])</f>
        <v>7</v>
      </c>
      <c r="F88" s="35" t="str">
        <f>Tabla1[[#This Row],[Partida]]&amp;" : "&amp;Tabla1[[#This Row],[Descripción larga]]</f>
        <v>C-01-02 : MO - CIMENTACION - OFICINAS RECIBO</v>
      </c>
    </row>
    <row r="89" spans="2:6" x14ac:dyDescent="0.25">
      <c r="B89" s="31" t="s">
        <v>698</v>
      </c>
      <c r="C89" s="31" t="s">
        <v>699</v>
      </c>
      <c r="D89" s="31" t="s">
        <v>700</v>
      </c>
      <c r="E89" s="35">
        <f>LEN(Tabla1[[#This Row],[Partida]])</f>
        <v>7</v>
      </c>
      <c r="F89" s="35" t="str">
        <f>Tabla1[[#This Row],[Partida]]&amp;" : "&amp;Tabla1[[#This Row],[Descripción larga]]</f>
        <v>C-01-03 : SUBCONTRATOS - CIMENTACION - OFICINAS RECIBO</v>
      </c>
    </row>
    <row r="90" spans="2:6" x14ac:dyDescent="0.25">
      <c r="B90" s="31" t="s">
        <v>701</v>
      </c>
      <c r="C90" s="31" t="s">
        <v>702</v>
      </c>
      <c r="D90" s="31" t="s">
        <v>703</v>
      </c>
      <c r="E90" s="35">
        <f>LEN(Tabla1[[#This Row],[Partida]])</f>
        <v>4</v>
      </c>
      <c r="F90" s="35" t="str">
        <f>Tabla1[[#This Row],[Partida]]&amp;" : "&amp;Tabla1[[#This Row],[Descripción larga]]</f>
        <v>C-02 : ESTRUCTURA DE CONCRETO - OFICINAS RECIBO</v>
      </c>
    </row>
    <row r="91" spans="2:6" x14ac:dyDescent="0.25">
      <c r="B91" s="31" t="s">
        <v>704</v>
      </c>
      <c r="C91" s="31" t="s">
        <v>705</v>
      </c>
      <c r="D91" s="31" t="s">
        <v>706</v>
      </c>
      <c r="E91" s="35">
        <f>LEN(Tabla1[[#This Row],[Partida]])</f>
        <v>7</v>
      </c>
      <c r="F91" s="35" t="str">
        <f>Tabla1[[#This Row],[Partida]]&amp;" : "&amp;Tabla1[[#This Row],[Descripción larga]]</f>
        <v>C-02-01 : MATERIALES, HERR Y EQ - ESTRUCTURA DE CONCRETO - OFICINAS RECIBO</v>
      </c>
    </row>
    <row r="92" spans="2:6" x14ac:dyDescent="0.25">
      <c r="B92" s="31" t="s">
        <v>707</v>
      </c>
      <c r="C92" s="31" t="s">
        <v>708</v>
      </c>
      <c r="D92" s="31" t="s">
        <v>709</v>
      </c>
      <c r="E92" s="35">
        <f>LEN(Tabla1[[#This Row],[Partida]])</f>
        <v>7</v>
      </c>
      <c r="F92" s="35" t="str">
        <f>Tabla1[[#This Row],[Partida]]&amp;" : "&amp;Tabla1[[#This Row],[Descripción larga]]</f>
        <v>C-02-02 : MO - ESTRUCTURA DE CONCRETO - OFICINAS RECIBO</v>
      </c>
    </row>
    <row r="93" spans="2:6" x14ac:dyDescent="0.25">
      <c r="B93" s="31" t="s">
        <v>710</v>
      </c>
      <c r="C93" s="31" t="s">
        <v>711</v>
      </c>
      <c r="D93" s="31" t="s">
        <v>712</v>
      </c>
      <c r="E93" s="35">
        <f>LEN(Tabla1[[#This Row],[Partida]])</f>
        <v>4</v>
      </c>
      <c r="F93" s="35" t="str">
        <f>Tabla1[[#This Row],[Partida]]&amp;" : "&amp;Tabla1[[#This Row],[Descripción larga]]</f>
        <v>C-03 : PISOS - OFICINAS RECIBO</v>
      </c>
    </row>
    <row r="94" spans="2:6" x14ac:dyDescent="0.25">
      <c r="B94" s="31" t="s">
        <v>713</v>
      </c>
      <c r="C94" s="31" t="s">
        <v>714</v>
      </c>
      <c r="D94" s="31" t="s">
        <v>715</v>
      </c>
      <c r="E94" s="35">
        <f>LEN(Tabla1[[#This Row],[Partida]])</f>
        <v>7</v>
      </c>
      <c r="F94" s="35" t="str">
        <f>Tabla1[[#This Row],[Partida]]&amp;" : "&amp;Tabla1[[#This Row],[Descripción larga]]</f>
        <v>C-03-01 : MATERIALES, HERR Y EQ - PISOS - OFICINAS RECIBO</v>
      </c>
    </row>
    <row r="95" spans="2:6" x14ac:dyDescent="0.25">
      <c r="B95" s="31" t="s">
        <v>716</v>
      </c>
      <c r="C95" s="31" t="s">
        <v>717</v>
      </c>
      <c r="D95" s="31" t="s">
        <v>718</v>
      </c>
      <c r="E95" s="35">
        <f>LEN(Tabla1[[#This Row],[Partida]])</f>
        <v>7</v>
      </c>
      <c r="F95" s="35" t="str">
        <f>Tabla1[[#This Row],[Partida]]&amp;" : "&amp;Tabla1[[#This Row],[Descripción larga]]</f>
        <v>C-03-02 : MO - PISOS - OFICINAS RECIBO</v>
      </c>
    </row>
    <row r="96" spans="2:6" ht="14.45" x14ac:dyDescent="0.35">
      <c r="B96" s="31" t="s">
        <v>719</v>
      </c>
      <c r="C96" s="31" t="s">
        <v>720</v>
      </c>
      <c r="D96" s="31" t="s">
        <v>721</v>
      </c>
      <c r="E96" s="35">
        <f>LEN(Tabla1[[#This Row],[Partida]])</f>
        <v>7</v>
      </c>
      <c r="F96" s="35" t="str">
        <f>Tabla1[[#This Row],[Partida]]&amp;" : "&amp;Tabla1[[#This Row],[Descripción larga]]</f>
        <v>C-03-03 : SERVICIOS PROFESIONALES - PISOS - OFICINAS RECIBO</v>
      </c>
    </row>
    <row r="97" spans="2:6" ht="14.45" x14ac:dyDescent="0.35">
      <c r="B97" s="31" t="s">
        <v>722</v>
      </c>
      <c r="C97" s="31" t="s">
        <v>723</v>
      </c>
      <c r="D97" s="31" t="s">
        <v>724</v>
      </c>
      <c r="E97" s="35">
        <f>LEN(Tabla1[[#This Row],[Partida]])</f>
        <v>4</v>
      </c>
      <c r="F97" s="35" t="str">
        <f>Tabla1[[#This Row],[Partida]]&amp;" : "&amp;Tabla1[[#This Row],[Descripción larga]]</f>
        <v>C-04 : PLAFONES - OFICINAS RECIBO</v>
      </c>
    </row>
    <row r="98" spans="2:6" ht="14.45" x14ac:dyDescent="0.35">
      <c r="B98" s="31" t="s">
        <v>725</v>
      </c>
      <c r="C98" s="31" t="s">
        <v>726</v>
      </c>
      <c r="D98" s="31" t="s">
        <v>727</v>
      </c>
      <c r="E98" s="35">
        <f>LEN(Tabla1[[#This Row],[Partida]])</f>
        <v>7</v>
      </c>
      <c r="F98" s="35" t="str">
        <f>Tabla1[[#This Row],[Partida]]&amp;" : "&amp;Tabla1[[#This Row],[Descripción larga]]</f>
        <v>C-04-01 : SUBCONTRATOS - PLAFONES - OFICINAS RECIBO</v>
      </c>
    </row>
    <row r="99" spans="2:6" ht="14.45" x14ac:dyDescent="0.35">
      <c r="B99" s="31" t="s">
        <v>728</v>
      </c>
      <c r="C99" s="31" t="s">
        <v>729</v>
      </c>
      <c r="D99" s="31" t="s">
        <v>730</v>
      </c>
      <c r="E99" s="35">
        <f>LEN(Tabla1[[#This Row],[Partida]])</f>
        <v>4</v>
      </c>
      <c r="F99" s="35" t="str">
        <f>Tabla1[[#This Row],[Partida]]&amp;" : "&amp;Tabla1[[#This Row],[Descripción larga]]</f>
        <v>C-05 : ALBAÑILERIAS - OFICINAS RECIBO</v>
      </c>
    </row>
    <row r="100" spans="2:6" ht="14.45" x14ac:dyDescent="0.35">
      <c r="B100" s="31" t="s">
        <v>731</v>
      </c>
      <c r="C100" s="31" t="s">
        <v>732</v>
      </c>
      <c r="D100" s="31" t="s">
        <v>733</v>
      </c>
      <c r="E100" s="35">
        <f>LEN(Tabla1[[#This Row],[Partida]])</f>
        <v>7</v>
      </c>
      <c r="F100" s="35" t="str">
        <f>Tabla1[[#This Row],[Partida]]&amp;" : "&amp;Tabla1[[#This Row],[Descripción larga]]</f>
        <v>C-05-01 : MATERIALES, HERR Y EQ - ALBAÑILERIAS - OFICINAS RECIBO</v>
      </c>
    </row>
    <row r="101" spans="2:6" ht="14.45" x14ac:dyDescent="0.35">
      <c r="B101" s="31" t="s">
        <v>734</v>
      </c>
      <c r="C101" s="31" t="s">
        <v>735</v>
      </c>
      <c r="D101" s="31" t="s">
        <v>736</v>
      </c>
      <c r="E101" s="35">
        <f>LEN(Tabla1[[#This Row],[Partida]])</f>
        <v>7</v>
      </c>
      <c r="F101" s="35" t="str">
        <f>Tabla1[[#This Row],[Partida]]&amp;" : "&amp;Tabla1[[#This Row],[Descripción larga]]</f>
        <v>C-05-02 : MO - ALBAÑILERIAS - OFICINAS RECIBO</v>
      </c>
    </row>
    <row r="102" spans="2:6" ht="14.45" x14ac:dyDescent="0.35">
      <c r="B102" s="31" t="s">
        <v>737</v>
      </c>
      <c r="C102" s="31" t="s">
        <v>738</v>
      </c>
      <c r="D102" s="31" t="s">
        <v>739</v>
      </c>
      <c r="E102" s="35">
        <f>LEN(Tabla1[[#This Row],[Partida]])</f>
        <v>7</v>
      </c>
      <c r="F102" s="35" t="str">
        <f>Tabla1[[#This Row],[Partida]]&amp;" : "&amp;Tabla1[[#This Row],[Descripción larga]]</f>
        <v>C-05-03 : SUBCONTRATOS - ALBAÑILERIAS - OFICINAS RECIBO</v>
      </c>
    </row>
    <row r="103" spans="2:6" ht="14.45" x14ac:dyDescent="0.35">
      <c r="B103" s="31" t="s">
        <v>740</v>
      </c>
      <c r="C103" s="31" t="s">
        <v>741</v>
      </c>
      <c r="D103" s="31" t="s">
        <v>742</v>
      </c>
      <c r="E103" s="35">
        <f>LEN(Tabla1[[#This Row],[Partida]])</f>
        <v>4</v>
      </c>
      <c r="F103" s="35" t="str">
        <f>Tabla1[[#This Row],[Partida]]&amp;" : "&amp;Tabla1[[#This Row],[Descripción larga]]</f>
        <v>C-06 : ACABADOS - OFICINAS RECIBO</v>
      </c>
    </row>
    <row r="104" spans="2:6" ht="14.45" x14ac:dyDescent="0.35">
      <c r="B104" s="31" t="s">
        <v>743</v>
      </c>
      <c r="C104" s="31" t="s">
        <v>744</v>
      </c>
      <c r="D104" s="31" t="s">
        <v>745</v>
      </c>
      <c r="E104" s="35">
        <f>LEN(Tabla1[[#This Row],[Partida]])</f>
        <v>7</v>
      </c>
      <c r="F104" s="35" t="str">
        <f>Tabla1[[#This Row],[Partida]]&amp;" : "&amp;Tabla1[[#This Row],[Descripción larga]]</f>
        <v>C-06-01 : MATERIALES, HERR Y EQ - ACABADOS - OFICINAS RECIBO</v>
      </c>
    </row>
    <row r="105" spans="2:6" ht="14.45" x14ac:dyDescent="0.35">
      <c r="B105" s="31" t="s">
        <v>746</v>
      </c>
      <c r="C105" s="31" t="s">
        <v>747</v>
      </c>
      <c r="D105" s="31" t="s">
        <v>748</v>
      </c>
      <c r="E105" s="35">
        <f>LEN(Tabla1[[#This Row],[Partida]])</f>
        <v>7</v>
      </c>
      <c r="F105" s="35" t="str">
        <f>Tabla1[[#This Row],[Partida]]&amp;" : "&amp;Tabla1[[#This Row],[Descripción larga]]</f>
        <v>C-06-02 : MO - ACABADOS - OFICINAS RECIBO</v>
      </c>
    </row>
    <row r="106" spans="2:6" ht="14.45" x14ac:dyDescent="0.35">
      <c r="B106" s="31" t="s">
        <v>749</v>
      </c>
      <c r="C106" s="31" t="s">
        <v>750</v>
      </c>
      <c r="D106" s="31" t="s">
        <v>751</v>
      </c>
      <c r="E106" s="35">
        <f>LEN(Tabla1[[#This Row],[Partida]])</f>
        <v>7</v>
      </c>
      <c r="F106" s="35" t="str">
        <f>Tabla1[[#This Row],[Partida]]&amp;" : "&amp;Tabla1[[#This Row],[Descripción larga]]</f>
        <v>C-06-03 : SERVICIOS PROFESIONALES - ACABADOS - OFICINAS RECIBO</v>
      </c>
    </row>
    <row r="107" spans="2:6" ht="14.45" x14ac:dyDescent="0.35">
      <c r="B107" s="31" t="s">
        <v>752</v>
      </c>
      <c r="C107" s="31" t="s">
        <v>753</v>
      </c>
      <c r="D107" s="31" t="s">
        <v>754</v>
      </c>
      <c r="E107" s="35">
        <f>LEN(Tabla1[[#This Row],[Partida]])</f>
        <v>7</v>
      </c>
      <c r="F107" s="35" t="str">
        <f>Tabla1[[#This Row],[Partida]]&amp;" : "&amp;Tabla1[[#This Row],[Descripción larga]]</f>
        <v>C-06-04 : SUBCONTRATOS - ACABADOS - OFICINAS RECIBO</v>
      </c>
    </row>
    <row r="108" spans="2:6" ht="14.45" x14ac:dyDescent="0.35">
      <c r="B108" s="31" t="s">
        <v>755</v>
      </c>
      <c r="C108" s="31" t="s">
        <v>756</v>
      </c>
      <c r="D108" s="31" t="s">
        <v>757</v>
      </c>
      <c r="E108" s="35">
        <f>LEN(Tabla1[[#This Row],[Partida]])</f>
        <v>4</v>
      </c>
      <c r="F108" s="35" t="str">
        <f>Tabla1[[#This Row],[Partida]]&amp;" : "&amp;Tabla1[[#This Row],[Descripción larga]]</f>
        <v>C-07 : ESTRUCTURA METALICA - OFICINAS RECIBO</v>
      </c>
    </row>
    <row r="109" spans="2:6" ht="14.45" x14ac:dyDescent="0.35">
      <c r="B109" s="31" t="s">
        <v>758</v>
      </c>
      <c r="C109" s="31" t="s">
        <v>759</v>
      </c>
      <c r="D109" s="31" t="s">
        <v>760</v>
      </c>
      <c r="E109" s="35">
        <f>LEN(Tabla1[[#This Row],[Partida]])</f>
        <v>7</v>
      </c>
      <c r="F109" s="35" t="str">
        <f>Tabla1[[#This Row],[Partida]]&amp;" : "&amp;Tabla1[[#This Row],[Descripción larga]]</f>
        <v>C-07-01 : SUBCONTRATOS - EM - OFICINAS RECIBO</v>
      </c>
    </row>
    <row r="110" spans="2:6" ht="14.45" x14ac:dyDescent="0.35">
      <c r="B110" s="31" t="s">
        <v>761</v>
      </c>
      <c r="C110" s="31" t="s">
        <v>762</v>
      </c>
      <c r="D110" s="31" t="s">
        <v>763</v>
      </c>
      <c r="E110" s="35">
        <f>LEN(Tabla1[[#This Row],[Partida]])</f>
        <v>4</v>
      </c>
      <c r="F110" s="35" t="str">
        <f>Tabla1[[#This Row],[Partida]]&amp;" : "&amp;Tabla1[[#This Row],[Descripción larga]]</f>
        <v>C-08 : TECHUMBRE O CUBIERTA - OFICINAS RECIBO</v>
      </c>
    </row>
    <row r="111" spans="2:6" ht="14.45" x14ac:dyDescent="0.35">
      <c r="B111" s="31" t="s">
        <v>764</v>
      </c>
      <c r="C111" s="31" t="s">
        <v>765</v>
      </c>
      <c r="D111" s="31" t="s">
        <v>766</v>
      </c>
      <c r="E111" s="35">
        <f>LEN(Tabla1[[#This Row],[Partida]])</f>
        <v>7</v>
      </c>
      <c r="F111" s="35" t="str">
        <f>Tabla1[[#This Row],[Partida]]&amp;" : "&amp;Tabla1[[#This Row],[Descripción larga]]</f>
        <v>C-08-01 : SERVICIOS PROFESIONALES - CUBIERTA - OFICINAS RECIBO</v>
      </c>
    </row>
    <row r="112" spans="2:6" ht="14.45" x14ac:dyDescent="0.35">
      <c r="B112" s="31" t="s">
        <v>767</v>
      </c>
      <c r="C112" s="31" t="s">
        <v>768</v>
      </c>
      <c r="D112" s="31" t="s">
        <v>769</v>
      </c>
      <c r="E112" s="35">
        <f>LEN(Tabla1[[#This Row],[Partida]])</f>
        <v>4</v>
      </c>
      <c r="F112" s="35" t="str">
        <f>Tabla1[[#This Row],[Partida]]&amp;" : "&amp;Tabla1[[#This Row],[Descripción larga]]</f>
        <v>C-09 : MUEBLES SANITARIOS - OFICINAS RECIBO</v>
      </c>
    </row>
    <row r="113" spans="2:6" ht="14.45" x14ac:dyDescent="0.35">
      <c r="B113" s="31" t="s">
        <v>770</v>
      </c>
      <c r="C113" s="31" t="s">
        <v>771</v>
      </c>
      <c r="D113" s="31" t="s">
        <v>772</v>
      </c>
      <c r="E113" s="35">
        <f>LEN(Tabla1[[#This Row],[Partida]])</f>
        <v>7</v>
      </c>
      <c r="F113" s="35" t="str">
        <f>Tabla1[[#This Row],[Partida]]&amp;" : "&amp;Tabla1[[#This Row],[Descripción larga]]</f>
        <v>C-09-01 : SUBCONTRATOS - MUEBLES SANITARIOS - OFICINAS RECIBO</v>
      </c>
    </row>
    <row r="114" spans="2:6" ht="14.45" x14ac:dyDescent="0.35">
      <c r="B114" s="31" t="s">
        <v>773</v>
      </c>
      <c r="C114" s="31" t="s">
        <v>774</v>
      </c>
      <c r="D114" s="31" t="s">
        <v>775</v>
      </c>
      <c r="E114" s="35">
        <f>LEN(Tabla1[[#This Row],[Partida]])</f>
        <v>4</v>
      </c>
      <c r="F114" s="35" t="str">
        <f>Tabla1[[#This Row],[Partida]]&amp;" : "&amp;Tabla1[[#This Row],[Descripción larga]]</f>
        <v>C-10 : INSTALACIONES - OFICINAS RECIBO</v>
      </c>
    </row>
    <row r="115" spans="2:6" ht="14.45" x14ac:dyDescent="0.35">
      <c r="B115" s="31" t="s">
        <v>776</v>
      </c>
      <c r="C115" s="31" t="s">
        <v>777</v>
      </c>
      <c r="D115" s="31" t="s">
        <v>778</v>
      </c>
      <c r="E115" s="35">
        <f>LEN(Tabla1[[#This Row],[Partida]])</f>
        <v>7</v>
      </c>
      <c r="F115" s="35" t="str">
        <f>Tabla1[[#This Row],[Partida]]&amp;" : "&amp;Tabla1[[#This Row],[Descripción larga]]</f>
        <v>C-10-01 : MATERIALES, HERR Y EQ - INSTALACIONES - OFICINAS RECIBO</v>
      </c>
    </row>
    <row r="116" spans="2:6" ht="14.45" x14ac:dyDescent="0.35">
      <c r="B116" s="31" t="s">
        <v>779</v>
      </c>
      <c r="C116" s="31" t="s">
        <v>780</v>
      </c>
      <c r="D116" s="31" t="s">
        <v>781</v>
      </c>
      <c r="E116" s="35">
        <f>LEN(Tabla1[[#This Row],[Partida]])</f>
        <v>7</v>
      </c>
      <c r="F116" s="35" t="str">
        <f>Tabla1[[#This Row],[Partida]]&amp;" : "&amp;Tabla1[[#This Row],[Descripción larga]]</f>
        <v>C-10-02 : MO - INSTALACIONES - OFICINAS RECIBO</v>
      </c>
    </row>
    <row r="117" spans="2:6" ht="14.45" x14ac:dyDescent="0.35">
      <c r="B117" s="31" t="s">
        <v>782</v>
      </c>
      <c r="C117" s="31" t="s">
        <v>783</v>
      </c>
      <c r="D117" s="31" t="s">
        <v>784</v>
      </c>
      <c r="E117" s="35">
        <f>LEN(Tabla1[[#This Row],[Partida]])</f>
        <v>7</v>
      </c>
      <c r="F117" s="35" t="str">
        <f>Tabla1[[#This Row],[Partida]]&amp;" : "&amp;Tabla1[[#This Row],[Descripción larga]]</f>
        <v>C-10-03 : SERVICIOS PROFESIONALES - INSTALACIONES - OFICINAS RECIBO</v>
      </c>
    </row>
    <row r="118" spans="2:6" ht="14.45" x14ac:dyDescent="0.35">
      <c r="B118" s="31" t="s">
        <v>785</v>
      </c>
      <c r="C118" s="31" t="s">
        <v>786</v>
      </c>
      <c r="D118" s="31" t="s">
        <v>787</v>
      </c>
      <c r="E118" s="35">
        <f>LEN(Tabla1[[#This Row],[Partida]])</f>
        <v>7</v>
      </c>
      <c r="F118" s="35" t="str">
        <f>Tabla1[[#This Row],[Partida]]&amp;" : "&amp;Tabla1[[#This Row],[Descripción larga]]</f>
        <v>C-10-04 : SUBCONTRATOS - INSTALACIONES - OFICINAS RECIBO</v>
      </c>
    </row>
    <row r="119" spans="2:6" ht="14.45" x14ac:dyDescent="0.35">
      <c r="B119" s="31" t="s">
        <v>788</v>
      </c>
      <c r="C119" s="31" t="s">
        <v>788</v>
      </c>
      <c r="D119" s="31" t="s">
        <v>789</v>
      </c>
      <c r="E119" s="35">
        <f>LEN(Tabla1[[#This Row],[Partida]])</f>
        <v>1</v>
      </c>
      <c r="F119" s="35" t="str">
        <f>Tabla1[[#This Row],[Partida]]&amp;" : "&amp;Tabla1[[#This Row],[Descripción larga]]</f>
        <v>D : OFICINAS PRINCIPALES - CENTRO DISTRIBUCION</v>
      </c>
    </row>
    <row r="120" spans="2:6" ht="14.45" x14ac:dyDescent="0.35">
      <c r="B120" s="31" t="s">
        <v>790</v>
      </c>
      <c r="C120" s="31" t="s">
        <v>791</v>
      </c>
      <c r="D120" s="31" t="s">
        <v>792</v>
      </c>
      <c r="E120" s="35">
        <f>LEN(Tabla1[[#This Row],[Partida]])</f>
        <v>4</v>
      </c>
      <c r="F120" s="35" t="str">
        <f>Tabla1[[#This Row],[Partida]]&amp;" : "&amp;Tabla1[[#This Row],[Descripción larga]]</f>
        <v>D-01 : CIMENTACION - OFICINAS PRINCIPALES</v>
      </c>
    </row>
    <row r="121" spans="2:6" ht="14.45" x14ac:dyDescent="0.35">
      <c r="B121" s="31" t="s">
        <v>793</v>
      </c>
      <c r="C121" s="31" t="s">
        <v>794</v>
      </c>
      <c r="D121" s="31" t="s">
        <v>795</v>
      </c>
      <c r="E121" s="35">
        <f>LEN(Tabla1[[#This Row],[Partida]])</f>
        <v>7</v>
      </c>
      <c r="F121" s="35" t="str">
        <f>Tabla1[[#This Row],[Partida]]&amp;" : "&amp;Tabla1[[#This Row],[Descripción larga]]</f>
        <v>D-01-01 : MATERIALES, HERR Y EQ - CIMENTACION - OFICINAS PRINCIPALES</v>
      </c>
    </row>
    <row r="122" spans="2:6" ht="14.45" x14ac:dyDescent="0.35">
      <c r="B122" s="31" t="s">
        <v>796</v>
      </c>
      <c r="C122" s="31" t="s">
        <v>797</v>
      </c>
      <c r="D122" s="31" t="s">
        <v>798</v>
      </c>
      <c r="E122" s="35">
        <f>LEN(Tabla1[[#This Row],[Partida]])</f>
        <v>7</v>
      </c>
      <c r="F122" s="35" t="str">
        <f>Tabla1[[#This Row],[Partida]]&amp;" : "&amp;Tabla1[[#This Row],[Descripción larga]]</f>
        <v>D-01-02 : MO - CIMENTACION - OFICINAS PRINCIPALES</v>
      </c>
    </row>
    <row r="123" spans="2:6" ht="14.45" x14ac:dyDescent="0.35">
      <c r="B123" s="31" t="s">
        <v>799</v>
      </c>
      <c r="C123" s="31" t="s">
        <v>800</v>
      </c>
      <c r="D123" s="31" t="s">
        <v>801</v>
      </c>
      <c r="E123" s="35">
        <f>LEN(Tabla1[[#This Row],[Partida]])</f>
        <v>7</v>
      </c>
      <c r="F123" s="35" t="str">
        <f>Tabla1[[#This Row],[Partida]]&amp;" : "&amp;Tabla1[[#This Row],[Descripción larga]]</f>
        <v>D-01-03 : SUBCONTRATOS - CIMENTACION - OFICINAS PRINCIPALES</v>
      </c>
    </row>
    <row r="124" spans="2:6" ht="14.45" x14ac:dyDescent="0.35">
      <c r="B124" s="31" t="s">
        <v>802</v>
      </c>
      <c r="C124" s="31" t="s">
        <v>803</v>
      </c>
      <c r="D124" s="31" t="s">
        <v>804</v>
      </c>
      <c r="E124" s="35">
        <f>LEN(Tabla1[[#This Row],[Partida]])</f>
        <v>4</v>
      </c>
      <c r="F124" s="35" t="str">
        <f>Tabla1[[#This Row],[Partida]]&amp;" : "&amp;Tabla1[[#This Row],[Descripción larga]]</f>
        <v>D-02 : ESTRUCTURA DE CONCRETO - OFICINAS PRINCIPALES</v>
      </c>
    </row>
    <row r="125" spans="2:6" ht="14.45" x14ac:dyDescent="0.35">
      <c r="B125" s="31" t="s">
        <v>805</v>
      </c>
      <c r="C125" s="31" t="s">
        <v>806</v>
      </c>
      <c r="D125" s="31" t="s">
        <v>807</v>
      </c>
      <c r="E125" s="35">
        <f>LEN(Tabla1[[#This Row],[Partida]])</f>
        <v>7</v>
      </c>
      <c r="F125" s="35" t="str">
        <f>Tabla1[[#This Row],[Partida]]&amp;" : "&amp;Tabla1[[#This Row],[Descripción larga]]</f>
        <v>D-02-01 : MATERIALES, HERR Y EQ - ESTRUCTURA DE CONCRETO - OFICINAS PRINCIPALES</v>
      </c>
    </row>
    <row r="126" spans="2:6" ht="14.45" x14ac:dyDescent="0.35">
      <c r="B126" s="31" t="s">
        <v>808</v>
      </c>
      <c r="C126" s="31" t="s">
        <v>809</v>
      </c>
      <c r="D126" s="31" t="s">
        <v>810</v>
      </c>
      <c r="E126" s="35">
        <f>LEN(Tabla1[[#This Row],[Partida]])</f>
        <v>7</v>
      </c>
      <c r="F126" s="35" t="str">
        <f>Tabla1[[#This Row],[Partida]]&amp;" : "&amp;Tabla1[[#This Row],[Descripción larga]]</f>
        <v>D-02-02 : MO - ESTRUCTURA DE CONCRETO - OFICINAS PRINCIPALES</v>
      </c>
    </row>
    <row r="127" spans="2:6" ht="14.45" x14ac:dyDescent="0.35">
      <c r="B127" s="31" t="s">
        <v>811</v>
      </c>
      <c r="C127" s="31" t="s">
        <v>812</v>
      </c>
      <c r="D127" s="31" t="s">
        <v>813</v>
      </c>
      <c r="E127" s="35">
        <f>LEN(Tabla1[[#This Row],[Partida]])</f>
        <v>7</v>
      </c>
      <c r="F127" s="35" t="str">
        <f>Tabla1[[#This Row],[Partida]]&amp;" : "&amp;Tabla1[[#This Row],[Descripción larga]]</f>
        <v>D-02-03 : SERVICIOS PROFESIONALES - ESTRUCTURA DE CONCRETO - OFICINAS PRINCIPALES</v>
      </c>
    </row>
    <row r="128" spans="2:6" ht="14.45" x14ac:dyDescent="0.35">
      <c r="B128" s="31" t="s">
        <v>814</v>
      </c>
      <c r="C128" s="31" t="s">
        <v>815</v>
      </c>
      <c r="D128" s="31" t="s">
        <v>816</v>
      </c>
      <c r="E128" s="35">
        <f>LEN(Tabla1[[#This Row],[Partida]])</f>
        <v>4</v>
      </c>
      <c r="F128" s="35" t="str">
        <f>Tabla1[[#This Row],[Partida]]&amp;" : "&amp;Tabla1[[#This Row],[Descripción larga]]</f>
        <v>D-03 : PISOS - OFICINAS PRINCIPALES</v>
      </c>
    </row>
    <row r="129" spans="2:6" ht="14.45" x14ac:dyDescent="0.35">
      <c r="B129" s="31" t="s">
        <v>817</v>
      </c>
      <c r="C129" s="31" t="s">
        <v>818</v>
      </c>
      <c r="D129" s="31" t="s">
        <v>819</v>
      </c>
      <c r="E129" s="35">
        <f>LEN(Tabla1[[#This Row],[Partida]])</f>
        <v>7</v>
      </c>
      <c r="F129" s="35" t="str">
        <f>Tabla1[[#This Row],[Partida]]&amp;" : "&amp;Tabla1[[#This Row],[Descripción larga]]</f>
        <v>D-03-01 : MATERIALES, HERR Y EQ - PISOS - OFICINAS PRINCIPALES</v>
      </c>
    </row>
    <row r="130" spans="2:6" ht="14.45" x14ac:dyDescent="0.35">
      <c r="B130" s="31" t="s">
        <v>820</v>
      </c>
      <c r="C130" s="31" t="s">
        <v>821</v>
      </c>
      <c r="D130" s="31" t="s">
        <v>822</v>
      </c>
      <c r="E130" s="35">
        <f>LEN(Tabla1[[#This Row],[Partida]])</f>
        <v>7</v>
      </c>
      <c r="F130" s="35" t="str">
        <f>Tabla1[[#This Row],[Partida]]&amp;" : "&amp;Tabla1[[#This Row],[Descripción larga]]</f>
        <v>D-03-02 : MO - PISOS - OFICINAS PRINCIPALES</v>
      </c>
    </row>
    <row r="131" spans="2:6" ht="14.45" x14ac:dyDescent="0.35">
      <c r="B131" s="31" t="s">
        <v>823</v>
      </c>
      <c r="C131" s="31" t="s">
        <v>824</v>
      </c>
      <c r="D131" s="31" t="s">
        <v>825</v>
      </c>
      <c r="E131" s="35">
        <f>LEN(Tabla1[[#This Row],[Partida]])</f>
        <v>7</v>
      </c>
      <c r="F131" s="35" t="str">
        <f>Tabla1[[#This Row],[Partida]]&amp;" : "&amp;Tabla1[[#This Row],[Descripción larga]]</f>
        <v>D-03-03 : SERVICIOS PROFESIONALES - PISOS - OFICINAS PRINCIPALES</v>
      </c>
    </row>
    <row r="132" spans="2:6" ht="14.45" x14ac:dyDescent="0.35">
      <c r="B132" s="31" t="s">
        <v>826</v>
      </c>
      <c r="C132" s="31" t="s">
        <v>827</v>
      </c>
      <c r="D132" s="31" t="s">
        <v>828</v>
      </c>
      <c r="E132" s="35">
        <f>LEN(Tabla1[[#This Row],[Partida]])</f>
        <v>4</v>
      </c>
      <c r="F132" s="35" t="str">
        <f>Tabla1[[#This Row],[Partida]]&amp;" : "&amp;Tabla1[[#This Row],[Descripción larga]]</f>
        <v>D-04 : PLAFONES - OFICINAS PRINCIPALES</v>
      </c>
    </row>
    <row r="133" spans="2:6" ht="14.45" x14ac:dyDescent="0.35">
      <c r="B133" s="31" t="s">
        <v>829</v>
      </c>
      <c r="C133" s="31" t="s">
        <v>830</v>
      </c>
      <c r="D133" s="31" t="s">
        <v>831</v>
      </c>
      <c r="E133" s="35">
        <f>LEN(Tabla1[[#This Row],[Partida]])</f>
        <v>7</v>
      </c>
      <c r="F133" s="35" t="str">
        <f>Tabla1[[#This Row],[Partida]]&amp;" : "&amp;Tabla1[[#This Row],[Descripción larga]]</f>
        <v>D-04-01 : SUBCONTRATOS - PLAFONES - OFICINAS PRINCIPALES</v>
      </c>
    </row>
    <row r="134" spans="2:6" ht="14.45" x14ac:dyDescent="0.35">
      <c r="B134" s="31" t="s">
        <v>832</v>
      </c>
      <c r="C134" s="31" t="s">
        <v>833</v>
      </c>
      <c r="D134" s="31" t="s">
        <v>834</v>
      </c>
      <c r="E134" s="35">
        <f>LEN(Tabla1[[#This Row],[Partida]])</f>
        <v>4</v>
      </c>
      <c r="F134" s="35" t="str">
        <f>Tabla1[[#This Row],[Partida]]&amp;" : "&amp;Tabla1[[#This Row],[Descripción larga]]</f>
        <v>D-05 : ALBAÑILERIAS - OFICINAS PRINCIPALES</v>
      </c>
    </row>
    <row r="135" spans="2:6" ht="14.45" x14ac:dyDescent="0.35">
      <c r="B135" s="31" t="s">
        <v>835</v>
      </c>
      <c r="C135" s="31" t="s">
        <v>836</v>
      </c>
      <c r="D135" s="31" t="s">
        <v>837</v>
      </c>
      <c r="E135" s="35">
        <f>LEN(Tabla1[[#This Row],[Partida]])</f>
        <v>7</v>
      </c>
      <c r="F135" s="35" t="str">
        <f>Tabla1[[#This Row],[Partida]]&amp;" : "&amp;Tabla1[[#This Row],[Descripción larga]]</f>
        <v>D-05-01 : MATERIALES, HERR Y EQ - ALBAÑILERIAS - OFICINAS PRINCIPALES</v>
      </c>
    </row>
    <row r="136" spans="2:6" ht="14.45" x14ac:dyDescent="0.35">
      <c r="B136" s="31" t="s">
        <v>838</v>
      </c>
      <c r="C136" s="31" t="s">
        <v>839</v>
      </c>
      <c r="D136" s="31" t="s">
        <v>840</v>
      </c>
      <c r="E136" s="35">
        <f>LEN(Tabla1[[#This Row],[Partida]])</f>
        <v>7</v>
      </c>
      <c r="F136" s="35" t="str">
        <f>Tabla1[[#This Row],[Partida]]&amp;" : "&amp;Tabla1[[#This Row],[Descripción larga]]</f>
        <v>D-05-02 : MO - ALBAÑILERIAS - OFICINAS PRINCIPALES</v>
      </c>
    </row>
    <row r="137" spans="2:6" ht="14.45" x14ac:dyDescent="0.35">
      <c r="B137" s="31" t="s">
        <v>841</v>
      </c>
      <c r="C137" s="31" t="s">
        <v>842</v>
      </c>
      <c r="D137" s="31" t="s">
        <v>843</v>
      </c>
      <c r="E137" s="35">
        <f>LEN(Tabla1[[#This Row],[Partida]])</f>
        <v>7</v>
      </c>
      <c r="F137" s="35" t="str">
        <f>Tabla1[[#This Row],[Partida]]&amp;" : "&amp;Tabla1[[#This Row],[Descripción larga]]</f>
        <v>D-05-03 : SERVICIOS PROFESIONALES - ALBAÑILERIAS - OFICINAS PRINCIPALES</v>
      </c>
    </row>
    <row r="138" spans="2:6" ht="14.45" x14ac:dyDescent="0.35">
      <c r="B138" s="31" t="s">
        <v>844</v>
      </c>
      <c r="C138" s="31" t="s">
        <v>845</v>
      </c>
      <c r="D138" s="31" t="s">
        <v>846</v>
      </c>
      <c r="E138" s="35">
        <f>LEN(Tabla1[[#This Row],[Partida]])</f>
        <v>7</v>
      </c>
      <c r="F138" s="35" t="str">
        <f>Tabla1[[#This Row],[Partida]]&amp;" : "&amp;Tabla1[[#This Row],[Descripción larga]]</f>
        <v>D-05-04 : SUBCONTRATOS - ALBAÑILERIAS - OFICINAS PRINCIPALES</v>
      </c>
    </row>
    <row r="139" spans="2:6" ht="14.45" x14ac:dyDescent="0.35">
      <c r="B139" s="31" t="s">
        <v>847</v>
      </c>
      <c r="C139" s="31" t="s">
        <v>848</v>
      </c>
      <c r="D139" s="31" t="s">
        <v>849</v>
      </c>
      <c r="E139" s="35">
        <f>LEN(Tabla1[[#This Row],[Partida]])</f>
        <v>4</v>
      </c>
      <c r="F139" s="35" t="str">
        <f>Tabla1[[#This Row],[Partida]]&amp;" : "&amp;Tabla1[[#This Row],[Descripción larga]]</f>
        <v>D-06 : ACABADOS - OFICINAS PRINCIPALES</v>
      </c>
    </row>
    <row r="140" spans="2:6" ht="14.45" x14ac:dyDescent="0.35">
      <c r="B140" s="31" t="s">
        <v>850</v>
      </c>
      <c r="C140" s="31" t="s">
        <v>851</v>
      </c>
      <c r="D140" s="31" t="s">
        <v>852</v>
      </c>
      <c r="E140" s="35">
        <f>LEN(Tabla1[[#This Row],[Partida]])</f>
        <v>7</v>
      </c>
      <c r="F140" s="35" t="str">
        <f>Tabla1[[#This Row],[Partida]]&amp;" : "&amp;Tabla1[[#This Row],[Descripción larga]]</f>
        <v>D-06-01 : MATERIALES, HERR Y EQ - ACABADOS - OFICINAS PRINCIPALES</v>
      </c>
    </row>
    <row r="141" spans="2:6" ht="14.45" x14ac:dyDescent="0.35">
      <c r="B141" s="31" t="s">
        <v>853</v>
      </c>
      <c r="C141" s="31" t="s">
        <v>854</v>
      </c>
      <c r="D141" s="31" t="s">
        <v>855</v>
      </c>
      <c r="E141" s="35">
        <f>LEN(Tabla1[[#This Row],[Partida]])</f>
        <v>7</v>
      </c>
      <c r="F141" s="35" t="str">
        <f>Tabla1[[#This Row],[Partida]]&amp;" : "&amp;Tabla1[[#This Row],[Descripción larga]]</f>
        <v>D-06-02 : MO - ACABADOS - OFICINAS PRINCIPALES</v>
      </c>
    </row>
    <row r="142" spans="2:6" ht="14.45" x14ac:dyDescent="0.35">
      <c r="B142" s="31" t="s">
        <v>856</v>
      </c>
      <c r="C142" s="31" t="s">
        <v>857</v>
      </c>
      <c r="D142" s="31" t="s">
        <v>858</v>
      </c>
      <c r="E142" s="35">
        <f>LEN(Tabla1[[#This Row],[Partida]])</f>
        <v>7</v>
      </c>
      <c r="F142" s="35" t="str">
        <f>Tabla1[[#This Row],[Partida]]&amp;" : "&amp;Tabla1[[#This Row],[Descripción larga]]</f>
        <v>D-06-03 : SERVICIOS PROFESIONALES - ACABADOS - OFICINAS PRINCIPALES</v>
      </c>
    </row>
    <row r="143" spans="2:6" ht="14.45" x14ac:dyDescent="0.35">
      <c r="B143" s="31" t="s">
        <v>859</v>
      </c>
      <c r="C143" s="31" t="s">
        <v>860</v>
      </c>
      <c r="D143" s="31" t="s">
        <v>861</v>
      </c>
      <c r="E143" s="35">
        <f>LEN(Tabla1[[#This Row],[Partida]])</f>
        <v>7</v>
      </c>
      <c r="F143" s="35" t="str">
        <f>Tabla1[[#This Row],[Partida]]&amp;" : "&amp;Tabla1[[#This Row],[Descripción larga]]</f>
        <v>D-06-04 : SUBCONTRATOS - ACABADOS - OFICINAS PRINCIPALES</v>
      </c>
    </row>
    <row r="144" spans="2:6" ht="14.45" x14ac:dyDescent="0.35">
      <c r="B144" s="31" t="s">
        <v>862</v>
      </c>
      <c r="C144" s="31" t="s">
        <v>863</v>
      </c>
      <c r="D144" s="31" t="s">
        <v>864</v>
      </c>
      <c r="E144" s="35">
        <f>LEN(Tabla1[[#This Row],[Partida]])</f>
        <v>4</v>
      </c>
      <c r="F144" s="35" t="str">
        <f>Tabla1[[#This Row],[Partida]]&amp;" : "&amp;Tabla1[[#This Row],[Descripción larga]]</f>
        <v>D-07 : ESTRUCTURA METALICA - OFICINAS PRINCIPALES</v>
      </c>
    </row>
    <row r="145" spans="2:6" ht="14.45" x14ac:dyDescent="0.35">
      <c r="B145" s="31" t="s">
        <v>865</v>
      </c>
      <c r="C145" s="31" t="s">
        <v>866</v>
      </c>
      <c r="D145" s="31" t="s">
        <v>867</v>
      </c>
      <c r="E145" s="35">
        <f>LEN(Tabla1[[#This Row],[Partida]])</f>
        <v>7</v>
      </c>
      <c r="F145" s="35" t="str">
        <f>Tabla1[[#This Row],[Partida]]&amp;" : "&amp;Tabla1[[#This Row],[Descripción larga]]</f>
        <v>D-07-01 : SUBCONTRATOS - ESTRUCTURA METALICA - OFICINAS PRINCIPALES</v>
      </c>
    </row>
    <row r="146" spans="2:6" ht="14.45" x14ac:dyDescent="0.35">
      <c r="B146" s="31" t="s">
        <v>868</v>
      </c>
      <c r="C146" s="31" t="s">
        <v>869</v>
      </c>
      <c r="D146" s="31" t="s">
        <v>870</v>
      </c>
      <c r="E146" s="35">
        <f>LEN(Tabla1[[#This Row],[Partida]])</f>
        <v>4</v>
      </c>
      <c r="F146" s="35" t="str">
        <f>Tabla1[[#This Row],[Partida]]&amp;" : "&amp;Tabla1[[#This Row],[Descripción larga]]</f>
        <v>D-08 : TECHUMBRE O CUBIERTA - OFICINAS PRINCIPALES</v>
      </c>
    </row>
    <row r="147" spans="2:6" ht="14.45" x14ac:dyDescent="0.35">
      <c r="B147" s="31" t="s">
        <v>871</v>
      </c>
      <c r="C147" s="31" t="s">
        <v>872</v>
      </c>
      <c r="D147" s="31" t="s">
        <v>873</v>
      </c>
      <c r="E147" s="35">
        <f>LEN(Tabla1[[#This Row],[Partida]])</f>
        <v>7</v>
      </c>
      <c r="F147" s="35" t="str">
        <f>Tabla1[[#This Row],[Partida]]&amp;" : "&amp;Tabla1[[#This Row],[Descripción larga]]</f>
        <v>D-08-01 : SERVICIOS PROFESIONALES - CUBIERTA - OFICINAS PRINCIPALES</v>
      </c>
    </row>
    <row r="148" spans="2:6" ht="14.45" x14ac:dyDescent="0.35">
      <c r="B148" s="31" t="s">
        <v>874</v>
      </c>
      <c r="C148" s="31" t="s">
        <v>875</v>
      </c>
      <c r="D148" s="31" t="s">
        <v>876</v>
      </c>
      <c r="E148" s="35">
        <f>LEN(Tabla1[[#This Row],[Partida]])</f>
        <v>7</v>
      </c>
      <c r="F148" s="35" t="str">
        <f>Tabla1[[#This Row],[Partida]]&amp;" : "&amp;Tabla1[[#This Row],[Descripción larga]]</f>
        <v>D-08-02 : SUBCONTRATOS - CUBIERTA - OFICINAS PRINCIPALES</v>
      </c>
    </row>
    <row r="149" spans="2:6" ht="14.45" x14ac:dyDescent="0.35">
      <c r="B149" s="31" t="s">
        <v>877</v>
      </c>
      <c r="C149" s="31" t="s">
        <v>878</v>
      </c>
      <c r="D149" s="31" t="s">
        <v>879</v>
      </c>
      <c r="E149" s="35">
        <f>LEN(Tabla1[[#This Row],[Partida]])</f>
        <v>4</v>
      </c>
      <c r="F149" s="35" t="str">
        <f>Tabla1[[#This Row],[Partida]]&amp;" : "&amp;Tabla1[[#This Row],[Descripción larga]]</f>
        <v>D-09 : LAMINA EN FACHADA - OFICINAS PRINCIPALES</v>
      </c>
    </row>
    <row r="150" spans="2:6" ht="14.45" x14ac:dyDescent="0.35">
      <c r="B150" s="31" t="s">
        <v>880</v>
      </c>
      <c r="C150" s="31" t="s">
        <v>881</v>
      </c>
      <c r="D150" s="31" t="s">
        <v>882</v>
      </c>
      <c r="E150" s="35">
        <f>LEN(Tabla1[[#This Row],[Partida]])</f>
        <v>7</v>
      </c>
      <c r="F150" s="35" t="str">
        <f>Tabla1[[#This Row],[Partida]]&amp;" : "&amp;Tabla1[[#This Row],[Descripción larga]]</f>
        <v>D-09-01 : SUBCONTRATOS - LAMINA FACHADA - OFICINAS PRINCIPALES</v>
      </c>
    </row>
    <row r="151" spans="2:6" ht="14.45" x14ac:dyDescent="0.35">
      <c r="B151" s="31" t="s">
        <v>883</v>
      </c>
      <c r="C151" s="31" t="s">
        <v>884</v>
      </c>
      <c r="D151" s="31" t="s">
        <v>885</v>
      </c>
      <c r="E151" s="35">
        <f>LEN(Tabla1[[#This Row],[Partida]])</f>
        <v>4</v>
      </c>
      <c r="F151" s="35" t="str">
        <f>Tabla1[[#This Row],[Partida]]&amp;" : "&amp;Tabla1[[#This Row],[Descripción larga]]</f>
        <v>D-10 : MUEBLES SANITARIOS - OFICINAS PRINCIPALES</v>
      </c>
    </row>
    <row r="152" spans="2:6" ht="14.45" x14ac:dyDescent="0.35">
      <c r="B152" s="31" t="s">
        <v>886</v>
      </c>
      <c r="C152" s="31" t="s">
        <v>887</v>
      </c>
      <c r="D152" s="31" t="s">
        <v>888</v>
      </c>
      <c r="E152" s="35">
        <f>LEN(Tabla1[[#This Row],[Partida]])</f>
        <v>7</v>
      </c>
      <c r="F152" s="35" t="str">
        <f>Tabla1[[#This Row],[Partida]]&amp;" : "&amp;Tabla1[[#This Row],[Descripción larga]]</f>
        <v>D-10-01 : SUBCONTRATOS - MUEBLES SANITARIOS - OFICINAS PRINCIPALES</v>
      </c>
    </row>
    <row r="153" spans="2:6" ht="14.45" x14ac:dyDescent="0.35">
      <c r="B153" s="31" t="s">
        <v>889</v>
      </c>
      <c r="C153" s="31" t="s">
        <v>794</v>
      </c>
      <c r="D153" s="31" t="s">
        <v>890</v>
      </c>
      <c r="E153" s="35">
        <f>LEN(Tabla1[[#This Row],[Partida]])</f>
        <v>4</v>
      </c>
      <c r="F153" s="35" t="str">
        <f>Tabla1[[#This Row],[Partida]]&amp;" : "&amp;Tabla1[[#This Row],[Descripción larga]]</f>
        <v>D-11 : INSTALACIONES - OFICINAS PRINCIPALES</v>
      </c>
    </row>
    <row r="154" spans="2:6" ht="14.45" x14ac:dyDescent="0.35">
      <c r="B154" s="31" t="s">
        <v>891</v>
      </c>
      <c r="C154" s="31" t="s">
        <v>892</v>
      </c>
      <c r="D154" s="31" t="s">
        <v>893</v>
      </c>
      <c r="E154" s="35">
        <f>LEN(Tabla1[[#This Row],[Partida]])</f>
        <v>7</v>
      </c>
      <c r="F154" s="35" t="str">
        <f>Tabla1[[#This Row],[Partida]]&amp;" : "&amp;Tabla1[[#This Row],[Descripción larga]]</f>
        <v>D-11-01 : SERVICIOS PROFESIONALES - INSTALACIONES - OFICINAS PRINCIPALES</v>
      </c>
    </row>
    <row r="155" spans="2:6" ht="14.45" x14ac:dyDescent="0.35">
      <c r="B155" s="31" t="s">
        <v>894</v>
      </c>
      <c r="C155" s="31" t="s">
        <v>895</v>
      </c>
      <c r="D155" s="31" t="s">
        <v>896</v>
      </c>
      <c r="E155" s="35">
        <f>LEN(Tabla1[[#This Row],[Partida]])</f>
        <v>7</v>
      </c>
      <c r="F155" s="35" t="str">
        <f>Tabla1[[#This Row],[Partida]]&amp;" : "&amp;Tabla1[[#This Row],[Descripción larga]]</f>
        <v>D-11-02 : SUBCONTRATOS - INSTALACIONES - OFICINAS PRINCIPALES</v>
      </c>
    </row>
    <row r="156" spans="2:6" ht="14.45" x14ac:dyDescent="0.35">
      <c r="B156" s="31" t="s">
        <v>897</v>
      </c>
      <c r="C156" s="31" t="s">
        <v>897</v>
      </c>
      <c r="D156" s="31" t="s">
        <v>898</v>
      </c>
      <c r="E156" s="35">
        <f>LEN(Tabla1[[#This Row],[Partida]])</f>
        <v>1</v>
      </c>
      <c r="F156" s="35" t="str">
        <f>Tabla1[[#This Row],[Partida]]&amp;" : "&amp;Tabla1[[#This Row],[Descripción larga]]</f>
        <v>E : TARIMAS - CENTRO DISTRIBUCION</v>
      </c>
    </row>
    <row r="157" spans="2:6" ht="14.45" x14ac:dyDescent="0.35">
      <c r="B157" s="31" t="s">
        <v>899</v>
      </c>
      <c r="C157" s="31" t="s">
        <v>900</v>
      </c>
      <c r="D157" s="31" t="s">
        <v>901</v>
      </c>
      <c r="E157" s="35">
        <f>LEN(Tabla1[[#This Row],[Partida]])</f>
        <v>4</v>
      </c>
      <c r="F157" s="35" t="str">
        <f>Tabla1[[#This Row],[Partida]]&amp;" : "&amp;Tabla1[[#This Row],[Descripción larga]]</f>
        <v>E-01 : PRELIMINARES - TARIMAS</v>
      </c>
    </row>
    <row r="158" spans="2:6" ht="29.1" x14ac:dyDescent="0.35">
      <c r="B158" s="31" t="s">
        <v>902</v>
      </c>
      <c r="C158" s="31" t="s">
        <v>903</v>
      </c>
      <c r="D158" s="32" t="s">
        <v>904</v>
      </c>
      <c r="E158" s="35">
        <f>LEN(Tabla1[[#This Row],[Partida]])</f>
        <v>7</v>
      </c>
      <c r="F158" s="35" t="str">
        <f>Tabla1[[#This Row],[Partida]]&amp;" : "&amp;Tabla1[[#This Row],[Descripción larga]]</f>
        <v>E-01-01 : SUBCONTRATOS
 - PRELIMINARES - TARIMAS</v>
      </c>
    </row>
    <row r="159" spans="2:6" ht="14.45" x14ac:dyDescent="0.35">
      <c r="B159" s="31" t="s">
        <v>905</v>
      </c>
      <c r="C159" s="31" t="s">
        <v>906</v>
      </c>
      <c r="D159" s="31" t="s">
        <v>907</v>
      </c>
      <c r="E159" s="35">
        <f>LEN(Tabla1[[#This Row],[Partida]])</f>
        <v>4</v>
      </c>
      <c r="F159" s="35" t="str">
        <f>Tabla1[[#This Row],[Partida]]&amp;" : "&amp;Tabla1[[#This Row],[Descripción larga]]</f>
        <v>E-02 : CIMENTACION - TARIMAS</v>
      </c>
    </row>
    <row r="160" spans="2:6" ht="14.45" x14ac:dyDescent="0.35">
      <c r="B160" s="31" t="s">
        <v>908</v>
      </c>
      <c r="C160" s="31" t="s">
        <v>909</v>
      </c>
      <c r="D160" s="31" t="s">
        <v>910</v>
      </c>
      <c r="E160" s="35">
        <f>LEN(Tabla1[[#This Row],[Partida]])</f>
        <v>7</v>
      </c>
      <c r="F160" s="35" t="str">
        <f>Tabla1[[#This Row],[Partida]]&amp;" : "&amp;Tabla1[[#This Row],[Descripción larga]]</f>
        <v>E-02-01 : MATERIALES, HERR Y EQ - CIMENTACION - TARIMAS</v>
      </c>
    </row>
    <row r="161" spans="2:6" ht="14.45" x14ac:dyDescent="0.35">
      <c r="B161" s="31" t="s">
        <v>911</v>
      </c>
      <c r="C161" s="31" t="s">
        <v>912</v>
      </c>
      <c r="D161" s="31" t="s">
        <v>913</v>
      </c>
      <c r="E161" s="35">
        <f>LEN(Tabla1[[#This Row],[Partida]])</f>
        <v>7</v>
      </c>
      <c r="F161" s="35" t="str">
        <f>Tabla1[[#This Row],[Partida]]&amp;" : "&amp;Tabla1[[#This Row],[Descripción larga]]</f>
        <v>E-02-02 : MO - CIMENTACION - TARIMAS</v>
      </c>
    </row>
    <row r="162" spans="2:6" ht="29.1" x14ac:dyDescent="0.35">
      <c r="B162" s="31" t="s">
        <v>914</v>
      </c>
      <c r="C162" s="31" t="s">
        <v>915</v>
      </c>
      <c r="D162" s="32" t="s">
        <v>916</v>
      </c>
      <c r="E162" s="35">
        <f>LEN(Tabla1[[#This Row],[Partida]])</f>
        <v>7</v>
      </c>
      <c r="F162" s="35" t="str">
        <f>Tabla1[[#This Row],[Partida]]&amp;" : "&amp;Tabla1[[#This Row],[Descripción larga]]</f>
        <v>E-02-03 : SUBCONTRATOS
 - CIMENTACION - TARIMAS</v>
      </c>
    </row>
    <row r="163" spans="2:6" ht="14.45" x14ac:dyDescent="0.35">
      <c r="B163" s="31" t="s">
        <v>917</v>
      </c>
      <c r="C163" s="31" t="s">
        <v>918</v>
      </c>
      <c r="D163" s="31" t="s">
        <v>919</v>
      </c>
      <c r="E163" s="35">
        <f>LEN(Tabla1[[#This Row],[Partida]])</f>
        <v>4</v>
      </c>
      <c r="F163" s="35" t="str">
        <f>Tabla1[[#This Row],[Partida]]&amp;" : "&amp;Tabla1[[#This Row],[Descripción larga]]</f>
        <v>E-03 : ESTRUCTURA DE CONCRETO - TARIMAS</v>
      </c>
    </row>
    <row r="164" spans="2:6" ht="14.45" x14ac:dyDescent="0.35">
      <c r="B164" s="31" t="s">
        <v>920</v>
      </c>
      <c r="C164" s="31" t="s">
        <v>921</v>
      </c>
      <c r="D164" s="31" t="s">
        <v>922</v>
      </c>
      <c r="E164" s="35">
        <f>LEN(Tabla1[[#This Row],[Partida]])</f>
        <v>7</v>
      </c>
      <c r="F164" s="35" t="str">
        <f>Tabla1[[#This Row],[Partida]]&amp;" : "&amp;Tabla1[[#This Row],[Descripción larga]]</f>
        <v>E-03-01 : MATERIALES, HERR Y EQ - ESTRUCTURA DE CONCRETO - TARIMAS</v>
      </c>
    </row>
    <row r="165" spans="2:6" ht="14.45" x14ac:dyDescent="0.35">
      <c r="B165" s="31" t="s">
        <v>923</v>
      </c>
      <c r="C165" s="31" t="s">
        <v>924</v>
      </c>
      <c r="D165" s="31" t="s">
        <v>925</v>
      </c>
      <c r="E165" s="35">
        <f>LEN(Tabla1[[#This Row],[Partida]])</f>
        <v>7</v>
      </c>
      <c r="F165" s="35" t="str">
        <f>Tabla1[[#This Row],[Partida]]&amp;" : "&amp;Tabla1[[#This Row],[Descripción larga]]</f>
        <v>E-03-02 : MO - ESTRUCTURA DE CONCRETO - TARIMAS</v>
      </c>
    </row>
    <row r="166" spans="2:6" ht="14.45" x14ac:dyDescent="0.35">
      <c r="B166" s="31" t="s">
        <v>926</v>
      </c>
      <c r="C166" s="31" t="s">
        <v>927</v>
      </c>
      <c r="D166" s="31" t="s">
        <v>928</v>
      </c>
      <c r="E166" s="35">
        <f>LEN(Tabla1[[#This Row],[Partida]])</f>
        <v>4</v>
      </c>
      <c r="F166" s="35" t="str">
        <f>Tabla1[[#This Row],[Partida]]&amp;" : "&amp;Tabla1[[#This Row],[Descripción larga]]</f>
        <v>E-04 : PISOS - TARIMAS</v>
      </c>
    </row>
    <row r="167" spans="2:6" ht="14.45" x14ac:dyDescent="0.35">
      <c r="B167" s="31" t="s">
        <v>929</v>
      </c>
      <c r="C167" s="31" t="s">
        <v>930</v>
      </c>
      <c r="D167" s="31" t="s">
        <v>931</v>
      </c>
      <c r="E167" s="35">
        <f>LEN(Tabla1[[#This Row],[Partida]])</f>
        <v>7</v>
      </c>
      <c r="F167" s="35" t="str">
        <f>Tabla1[[#This Row],[Partida]]&amp;" : "&amp;Tabla1[[#This Row],[Descripción larga]]</f>
        <v>E-04-01 : MATERIALES, HERR Y EQ - PISOS - TARIMAS</v>
      </c>
    </row>
    <row r="168" spans="2:6" ht="14.45" x14ac:dyDescent="0.35">
      <c r="B168" s="31" t="s">
        <v>932</v>
      </c>
      <c r="C168" s="31" t="s">
        <v>933</v>
      </c>
      <c r="D168" s="31" t="s">
        <v>934</v>
      </c>
      <c r="E168" s="35">
        <f>LEN(Tabla1[[#This Row],[Partida]])</f>
        <v>7</v>
      </c>
      <c r="F168" s="35" t="str">
        <f>Tabla1[[#This Row],[Partida]]&amp;" : "&amp;Tabla1[[#This Row],[Descripción larga]]</f>
        <v>E-04-02 : MO - PISOS - TARIMAS</v>
      </c>
    </row>
    <row r="169" spans="2:6" ht="14.45" x14ac:dyDescent="0.35">
      <c r="B169" s="31" t="s">
        <v>935</v>
      </c>
      <c r="C169" s="31" t="s">
        <v>936</v>
      </c>
      <c r="D169" s="31" t="s">
        <v>937</v>
      </c>
      <c r="E169" s="35">
        <f>LEN(Tabla1[[#This Row],[Partida]])</f>
        <v>7</v>
      </c>
      <c r="F169" s="35" t="str">
        <f>Tabla1[[#This Row],[Partida]]&amp;" : "&amp;Tabla1[[#This Row],[Descripción larga]]</f>
        <v>E-04-03 : SERVICIOS PROFESIONALES - PISOS - TARIMAS</v>
      </c>
    </row>
    <row r="170" spans="2:6" ht="14.45" x14ac:dyDescent="0.35">
      <c r="B170" s="31" t="s">
        <v>938</v>
      </c>
      <c r="C170" s="31" t="s">
        <v>939</v>
      </c>
      <c r="D170" s="31" t="s">
        <v>940</v>
      </c>
      <c r="E170" s="35">
        <f>LEN(Tabla1[[#This Row],[Partida]])</f>
        <v>4</v>
      </c>
      <c r="F170" s="35" t="str">
        <f>Tabla1[[#This Row],[Partida]]&amp;" : "&amp;Tabla1[[#This Row],[Descripción larga]]</f>
        <v>E-05 : PLAFONES - TARIMAS</v>
      </c>
    </row>
    <row r="171" spans="2:6" ht="14.45" x14ac:dyDescent="0.35">
      <c r="B171" s="31" t="s">
        <v>941</v>
      </c>
      <c r="C171" s="31" t="s">
        <v>942</v>
      </c>
      <c r="D171" s="31" t="s">
        <v>943</v>
      </c>
      <c r="E171" s="35">
        <f>LEN(Tabla1[[#This Row],[Partida]])</f>
        <v>7</v>
      </c>
      <c r="F171" s="35" t="str">
        <f>Tabla1[[#This Row],[Partida]]&amp;" : "&amp;Tabla1[[#This Row],[Descripción larga]]</f>
        <v>E-05-01 : SUBCONTRATOS - PLAFONES - TARIMAS</v>
      </c>
    </row>
    <row r="172" spans="2:6" ht="14.45" x14ac:dyDescent="0.35">
      <c r="B172" s="31" t="s">
        <v>944</v>
      </c>
      <c r="C172" s="31" t="s">
        <v>945</v>
      </c>
      <c r="D172" s="31" t="s">
        <v>946</v>
      </c>
      <c r="E172" s="35">
        <f>LEN(Tabla1[[#This Row],[Partida]])</f>
        <v>4</v>
      </c>
      <c r="F172" s="35" t="str">
        <f>Tabla1[[#This Row],[Partida]]&amp;" : "&amp;Tabla1[[#This Row],[Descripción larga]]</f>
        <v>E-06 : ALBAÑILERIAS - TARIMAS</v>
      </c>
    </row>
    <row r="173" spans="2:6" ht="14.45" x14ac:dyDescent="0.35">
      <c r="B173" s="31" t="s">
        <v>947</v>
      </c>
      <c r="C173" s="31" t="s">
        <v>948</v>
      </c>
      <c r="D173" s="31" t="s">
        <v>949</v>
      </c>
      <c r="E173" s="35">
        <f>LEN(Tabla1[[#This Row],[Partida]])</f>
        <v>7</v>
      </c>
      <c r="F173" s="35" t="str">
        <f>Tabla1[[#This Row],[Partida]]&amp;" : "&amp;Tabla1[[#This Row],[Descripción larga]]</f>
        <v>E-06-01 : MATERIALES, HERR Y EQ - ALBAÑILERIAS - TARIMAS</v>
      </c>
    </row>
    <row r="174" spans="2:6" ht="14.45" x14ac:dyDescent="0.35">
      <c r="B174" s="31" t="s">
        <v>950</v>
      </c>
      <c r="C174" s="31" t="s">
        <v>951</v>
      </c>
      <c r="D174" s="31" t="s">
        <v>952</v>
      </c>
      <c r="E174" s="35">
        <f>LEN(Tabla1[[#This Row],[Partida]])</f>
        <v>7</v>
      </c>
      <c r="F174" s="35" t="str">
        <f>Tabla1[[#This Row],[Partida]]&amp;" : "&amp;Tabla1[[#This Row],[Descripción larga]]</f>
        <v>E-06-02 : MO - ALBAÑILERIAS - TARIMAS</v>
      </c>
    </row>
    <row r="175" spans="2:6" ht="14.45" x14ac:dyDescent="0.35">
      <c r="B175" s="31" t="s">
        <v>953</v>
      </c>
      <c r="C175" s="31" t="s">
        <v>954</v>
      </c>
      <c r="D175" s="31" t="s">
        <v>955</v>
      </c>
      <c r="E175" s="35">
        <f>LEN(Tabla1[[#This Row],[Partida]])</f>
        <v>7</v>
      </c>
      <c r="F175" s="35" t="str">
        <f>Tabla1[[#This Row],[Partida]]&amp;" : "&amp;Tabla1[[#This Row],[Descripción larga]]</f>
        <v>E-06-03 : SERVICIOS PROFESIONALES - ALBAÑILERIAS - TARIMAS</v>
      </c>
    </row>
    <row r="176" spans="2:6" ht="14.45" x14ac:dyDescent="0.35">
      <c r="B176" s="31" t="s">
        <v>956</v>
      </c>
      <c r="C176" s="31" t="s">
        <v>957</v>
      </c>
      <c r="D176" s="31" t="s">
        <v>958</v>
      </c>
      <c r="E176" s="35">
        <f>LEN(Tabla1[[#This Row],[Partida]])</f>
        <v>7</v>
      </c>
      <c r="F176" s="35" t="str">
        <f>Tabla1[[#This Row],[Partida]]&amp;" : "&amp;Tabla1[[#This Row],[Descripción larga]]</f>
        <v>E-06-04 : SUBCONTRATOS - ALBAÑILERIAS - TARIMAS</v>
      </c>
    </row>
    <row r="177" spans="2:6" ht="14.45" x14ac:dyDescent="0.35">
      <c r="B177" s="31" t="s">
        <v>959</v>
      </c>
      <c r="C177" s="31" t="s">
        <v>960</v>
      </c>
      <c r="D177" s="31" t="s">
        <v>961</v>
      </c>
      <c r="E177" s="35">
        <f>LEN(Tabla1[[#This Row],[Partida]])</f>
        <v>4</v>
      </c>
      <c r="F177" s="35" t="str">
        <f>Tabla1[[#This Row],[Partida]]&amp;" : "&amp;Tabla1[[#This Row],[Descripción larga]]</f>
        <v>E-07 : ACABADOS - TARIMAS</v>
      </c>
    </row>
    <row r="178" spans="2:6" ht="14.45" x14ac:dyDescent="0.35">
      <c r="B178" s="31" t="s">
        <v>962</v>
      </c>
      <c r="C178" s="31" t="s">
        <v>963</v>
      </c>
      <c r="D178" s="31" t="s">
        <v>964</v>
      </c>
      <c r="E178" s="35">
        <f>LEN(Tabla1[[#This Row],[Partida]])</f>
        <v>7</v>
      </c>
      <c r="F178" s="35" t="str">
        <f>Tabla1[[#This Row],[Partida]]&amp;" : "&amp;Tabla1[[#This Row],[Descripción larga]]</f>
        <v>E-07-01 : MATERIALES, HERR Y EQ - ACABADOS - TARIMAS</v>
      </c>
    </row>
    <row r="179" spans="2:6" ht="14.45" x14ac:dyDescent="0.35">
      <c r="B179" s="31" t="s">
        <v>965</v>
      </c>
      <c r="C179" s="31" t="s">
        <v>966</v>
      </c>
      <c r="D179" s="31" t="s">
        <v>967</v>
      </c>
      <c r="E179" s="35">
        <f>LEN(Tabla1[[#This Row],[Partida]])</f>
        <v>7</v>
      </c>
      <c r="F179" s="35" t="str">
        <f>Tabla1[[#This Row],[Partida]]&amp;" : "&amp;Tabla1[[#This Row],[Descripción larga]]</f>
        <v>E-07-02 : MO - ACABADOS - TARIMAS</v>
      </c>
    </row>
    <row r="180" spans="2:6" ht="14.45" x14ac:dyDescent="0.35">
      <c r="B180" s="31" t="s">
        <v>968</v>
      </c>
      <c r="C180" s="31" t="s">
        <v>969</v>
      </c>
      <c r="D180" s="31" t="s">
        <v>970</v>
      </c>
      <c r="E180" s="35">
        <f>LEN(Tabla1[[#This Row],[Partida]])</f>
        <v>7</v>
      </c>
      <c r="F180" s="35" t="str">
        <f>Tabla1[[#This Row],[Partida]]&amp;" : "&amp;Tabla1[[#This Row],[Descripción larga]]</f>
        <v>E-07-03 : SERVICIOS PROFESIONALES - ACABADOS - TARIMAS</v>
      </c>
    </row>
    <row r="181" spans="2:6" ht="14.45" x14ac:dyDescent="0.35">
      <c r="B181" s="31" t="s">
        <v>971</v>
      </c>
      <c r="C181" s="31" t="s">
        <v>972</v>
      </c>
      <c r="D181" s="31" t="s">
        <v>973</v>
      </c>
      <c r="E181" s="35">
        <f>LEN(Tabla1[[#This Row],[Partida]])</f>
        <v>7</v>
      </c>
      <c r="F181" s="35" t="str">
        <f>Tabla1[[#This Row],[Partida]]&amp;" : "&amp;Tabla1[[#This Row],[Descripción larga]]</f>
        <v>E-07-04 : SUBCONTRATOS - ACABADOS - TARIMAS</v>
      </c>
    </row>
    <row r="182" spans="2:6" ht="14.45" x14ac:dyDescent="0.35">
      <c r="B182" s="31" t="s">
        <v>974</v>
      </c>
      <c r="C182" s="31" t="s">
        <v>975</v>
      </c>
      <c r="D182" s="31" t="s">
        <v>976</v>
      </c>
      <c r="E182" s="35">
        <f>LEN(Tabla1[[#This Row],[Partida]])</f>
        <v>4</v>
      </c>
      <c r="F182" s="35" t="str">
        <f>Tabla1[[#This Row],[Partida]]&amp;" : "&amp;Tabla1[[#This Row],[Descripción larga]]</f>
        <v>E-08 : ESTRUCTURA METALICA - TARIMAS</v>
      </c>
    </row>
    <row r="183" spans="2:6" ht="14.45" x14ac:dyDescent="0.35">
      <c r="B183" s="31" t="s">
        <v>977</v>
      </c>
      <c r="C183" s="31" t="s">
        <v>978</v>
      </c>
      <c r="D183" s="31" t="s">
        <v>979</v>
      </c>
      <c r="E183" s="35">
        <f>LEN(Tabla1[[#This Row],[Partida]])</f>
        <v>7</v>
      </c>
      <c r="F183" s="35" t="str">
        <f>Tabla1[[#This Row],[Partida]]&amp;" : "&amp;Tabla1[[#This Row],[Descripción larga]]</f>
        <v>E-08-01 : SUBCONTRATOS - ESTRUCTURA METALICA - TARIMAS</v>
      </c>
    </row>
    <row r="184" spans="2:6" ht="14.45" x14ac:dyDescent="0.35">
      <c r="B184" s="31" t="s">
        <v>980</v>
      </c>
      <c r="C184" s="31" t="s">
        <v>981</v>
      </c>
      <c r="D184" s="31" t="s">
        <v>982</v>
      </c>
      <c r="E184" s="35">
        <f>LEN(Tabla1[[#This Row],[Partida]])</f>
        <v>4</v>
      </c>
      <c r="F184" s="35" t="str">
        <f>Tabla1[[#This Row],[Partida]]&amp;" : "&amp;Tabla1[[#This Row],[Descripción larga]]</f>
        <v>E-09 : TECHUMBRE O CUBIERTAS - TARIMAS</v>
      </c>
    </row>
    <row r="185" spans="2:6" ht="14.45" x14ac:dyDescent="0.35">
      <c r="B185" s="31" t="s">
        <v>983</v>
      </c>
      <c r="C185" s="31" t="s">
        <v>984</v>
      </c>
      <c r="D185" s="31" t="s">
        <v>985</v>
      </c>
      <c r="E185" s="35">
        <f>LEN(Tabla1[[#This Row],[Partida]])</f>
        <v>7</v>
      </c>
      <c r="F185" s="35" t="str">
        <f>Tabla1[[#This Row],[Partida]]&amp;" : "&amp;Tabla1[[#This Row],[Descripción larga]]</f>
        <v>E-09-01 : SUBCONTRATOS - CUBIERTAS - TARIMAS</v>
      </c>
    </row>
    <row r="186" spans="2:6" ht="14.45" x14ac:dyDescent="0.35">
      <c r="B186" s="31" t="s">
        <v>986</v>
      </c>
      <c r="C186" s="31" t="s">
        <v>987</v>
      </c>
      <c r="D186" s="31" t="s">
        <v>988</v>
      </c>
      <c r="E186" s="35">
        <f>LEN(Tabla1[[#This Row],[Partida]])</f>
        <v>4</v>
      </c>
      <c r="F186" s="35" t="str">
        <f>Tabla1[[#This Row],[Partida]]&amp;" : "&amp;Tabla1[[#This Row],[Descripción larga]]</f>
        <v>E-10 : LAMINAS EN FACHADAS - TARIMAS</v>
      </c>
    </row>
    <row r="187" spans="2:6" ht="14.45" x14ac:dyDescent="0.35">
      <c r="B187" s="31" t="s">
        <v>989</v>
      </c>
      <c r="C187" s="31" t="s">
        <v>990</v>
      </c>
      <c r="D187" s="31" t="s">
        <v>991</v>
      </c>
      <c r="E187" s="35">
        <f>LEN(Tabla1[[#This Row],[Partida]])</f>
        <v>7</v>
      </c>
      <c r="F187" s="35" t="str">
        <f>Tabla1[[#This Row],[Partida]]&amp;" : "&amp;Tabla1[[#This Row],[Descripción larga]]</f>
        <v>E-10-01 : SUBCONTRATOS - LAMINAS FACHADAS - TARIMAS</v>
      </c>
    </row>
    <row r="188" spans="2:6" ht="14.45" x14ac:dyDescent="0.35">
      <c r="B188" s="31" t="s">
        <v>992</v>
      </c>
      <c r="C188" s="31" t="s">
        <v>903</v>
      </c>
      <c r="D188" s="31" t="s">
        <v>993</v>
      </c>
      <c r="E188" s="35">
        <f>LEN(Tabla1[[#This Row],[Partida]])</f>
        <v>4</v>
      </c>
      <c r="F188" s="35" t="str">
        <f>Tabla1[[#This Row],[Partida]]&amp;" : "&amp;Tabla1[[#This Row],[Descripción larga]]</f>
        <v>E-11 : MUEBLES SANITARIOS - TARIMAS</v>
      </c>
    </row>
    <row r="189" spans="2:6" ht="14.45" x14ac:dyDescent="0.35">
      <c r="B189" s="31" t="s">
        <v>994</v>
      </c>
      <c r="C189" s="31" t="s">
        <v>995</v>
      </c>
      <c r="D189" s="31" t="s">
        <v>996</v>
      </c>
      <c r="E189" s="35">
        <f>LEN(Tabla1[[#This Row],[Partida]])</f>
        <v>7</v>
      </c>
      <c r="F189" s="35" t="str">
        <f>Tabla1[[#This Row],[Partida]]&amp;" : "&amp;Tabla1[[#This Row],[Descripción larga]]</f>
        <v>E-11-01 : SUBCONTRATOS - MUEBLES SANITARIOS - TARIMAS</v>
      </c>
    </row>
    <row r="190" spans="2:6" ht="14.45" x14ac:dyDescent="0.35">
      <c r="B190" s="31" t="s">
        <v>997</v>
      </c>
      <c r="C190" s="31" t="s">
        <v>998</v>
      </c>
      <c r="D190" s="31" t="s">
        <v>999</v>
      </c>
      <c r="E190" s="35">
        <f>LEN(Tabla1[[#This Row],[Partida]])</f>
        <v>4</v>
      </c>
      <c r="F190" s="35" t="str">
        <f>Tabla1[[#This Row],[Partida]]&amp;" : "&amp;Tabla1[[#This Row],[Descripción larga]]</f>
        <v>E-12 : INSTALACIONES - TARIMAS</v>
      </c>
    </row>
    <row r="191" spans="2:6" ht="14.45" x14ac:dyDescent="0.35">
      <c r="B191" s="31" t="s">
        <v>1000</v>
      </c>
      <c r="C191" s="31" t="s">
        <v>1001</v>
      </c>
      <c r="D191" s="31" t="s">
        <v>1002</v>
      </c>
      <c r="E191" s="35">
        <f>LEN(Tabla1[[#This Row],[Partida]])</f>
        <v>7</v>
      </c>
      <c r="F191" s="35" t="str">
        <f>Tabla1[[#This Row],[Partida]]&amp;" : "&amp;Tabla1[[#This Row],[Descripción larga]]</f>
        <v>E-12-01 : SERVICIOS PROFESIONALES - INSTALACIONES - TARIMAS</v>
      </c>
    </row>
    <row r="192" spans="2:6" ht="14.45" x14ac:dyDescent="0.35">
      <c r="B192" s="31" t="s">
        <v>1003</v>
      </c>
      <c r="C192" s="31" t="s">
        <v>1004</v>
      </c>
      <c r="D192" s="31" t="s">
        <v>1005</v>
      </c>
      <c r="E192" s="35">
        <f>LEN(Tabla1[[#This Row],[Partida]])</f>
        <v>7</v>
      </c>
      <c r="F192" s="35" t="str">
        <f>Tabla1[[#This Row],[Partida]]&amp;" : "&amp;Tabla1[[#This Row],[Descripción larga]]</f>
        <v>E-12-02 : SUBCONTRATOS - INSTALACIONES - TARIMAS</v>
      </c>
    </row>
    <row r="193" spans="2:6" ht="14.45" x14ac:dyDescent="0.35">
      <c r="B193" s="31" t="s">
        <v>1006</v>
      </c>
      <c r="C193" s="31" t="s">
        <v>1006</v>
      </c>
      <c r="D193" s="31" t="s">
        <v>1007</v>
      </c>
      <c r="E193" s="35">
        <f>LEN(Tabla1[[#This Row],[Partida]])</f>
        <v>1</v>
      </c>
      <c r="F193" s="35" t="str">
        <f>Tabla1[[#This Row],[Partida]]&amp;" : "&amp;Tabla1[[#This Row],[Descripción larga]]</f>
        <v>F : CASETA ACCESO - CENTRO DISTRIBUCION</v>
      </c>
    </row>
    <row r="194" spans="2:6" ht="14.45" x14ac:dyDescent="0.35">
      <c r="B194" s="31" t="s">
        <v>1008</v>
      </c>
      <c r="C194" s="31" t="s">
        <v>1009</v>
      </c>
      <c r="D194" s="31" t="s">
        <v>1010</v>
      </c>
      <c r="E194" s="35">
        <f>LEN(Tabla1[[#This Row],[Partida]])</f>
        <v>4</v>
      </c>
      <c r="F194" s="35" t="str">
        <f>Tabla1[[#This Row],[Partida]]&amp;" : "&amp;Tabla1[[#This Row],[Descripción larga]]</f>
        <v>F-01 : CIMENTACION - CASETA ASOCIADOS</v>
      </c>
    </row>
    <row r="195" spans="2:6" ht="14.45" x14ac:dyDescent="0.35">
      <c r="B195" s="31" t="s">
        <v>1011</v>
      </c>
      <c r="C195" s="31" t="s">
        <v>1012</v>
      </c>
      <c r="D195" s="31" t="s">
        <v>1013</v>
      </c>
      <c r="E195" s="35">
        <f>LEN(Tabla1[[#This Row],[Partida]])</f>
        <v>7</v>
      </c>
      <c r="F195" s="35" t="str">
        <f>Tabla1[[#This Row],[Partida]]&amp;" : "&amp;Tabla1[[#This Row],[Descripción larga]]</f>
        <v>F-01-01 : MATERIALES, HERR Y EQ - CIMENTACION - CASETA ASOCIADOS</v>
      </c>
    </row>
    <row r="196" spans="2:6" ht="14.45" x14ac:dyDescent="0.35">
      <c r="B196" s="31" t="s">
        <v>1014</v>
      </c>
      <c r="C196" s="31" t="s">
        <v>1015</v>
      </c>
      <c r="D196" s="31" t="s">
        <v>1016</v>
      </c>
      <c r="E196" s="35">
        <f>LEN(Tabla1[[#This Row],[Partida]])</f>
        <v>7</v>
      </c>
      <c r="F196" s="35" t="str">
        <f>Tabla1[[#This Row],[Partida]]&amp;" : "&amp;Tabla1[[#This Row],[Descripción larga]]</f>
        <v>F-01-02 : MO - CIMENTACION - CASETA ASOCIADOS</v>
      </c>
    </row>
    <row r="197" spans="2:6" ht="14.45" x14ac:dyDescent="0.35">
      <c r="B197" s="31" t="s">
        <v>1017</v>
      </c>
      <c r="C197" s="31" t="s">
        <v>1018</v>
      </c>
      <c r="D197" s="31" t="s">
        <v>1019</v>
      </c>
      <c r="E197" s="35">
        <f>LEN(Tabla1[[#This Row],[Partida]])</f>
        <v>7</v>
      </c>
      <c r="F197" s="35" t="str">
        <f>Tabla1[[#This Row],[Partida]]&amp;" : "&amp;Tabla1[[#This Row],[Descripción larga]]</f>
        <v>F-01-03 : SUBCONTRATOS - CIMENTACION - CASETA ASOCIADOS</v>
      </c>
    </row>
    <row r="198" spans="2:6" ht="14.45" x14ac:dyDescent="0.35">
      <c r="B198" s="31" t="s">
        <v>1020</v>
      </c>
      <c r="C198" s="31" t="s">
        <v>1021</v>
      </c>
      <c r="D198" s="31" t="s">
        <v>1022</v>
      </c>
      <c r="E198" s="35">
        <f>LEN(Tabla1[[#This Row],[Partida]])</f>
        <v>4</v>
      </c>
      <c r="F198" s="35" t="str">
        <f>Tabla1[[#This Row],[Partida]]&amp;" : "&amp;Tabla1[[#This Row],[Descripción larga]]</f>
        <v>F-02 : PISOS - CASETA ASOCIADOS</v>
      </c>
    </row>
    <row r="199" spans="2:6" ht="14.45" x14ac:dyDescent="0.35">
      <c r="B199" s="31" t="s">
        <v>1023</v>
      </c>
      <c r="C199" s="31" t="s">
        <v>1024</v>
      </c>
      <c r="D199" s="31" t="s">
        <v>1025</v>
      </c>
      <c r="E199" s="35">
        <f>LEN(Tabla1[[#This Row],[Partida]])</f>
        <v>7</v>
      </c>
      <c r="F199" s="35" t="str">
        <f>Tabla1[[#This Row],[Partida]]&amp;" : "&amp;Tabla1[[#This Row],[Descripción larga]]</f>
        <v>F-02-01 : MATERIALES, HERR Y EQ - PISOS - CASETA ASOCIADOS</v>
      </c>
    </row>
    <row r="200" spans="2:6" ht="14.45" x14ac:dyDescent="0.35">
      <c r="B200" s="31" t="s">
        <v>1026</v>
      </c>
      <c r="C200" s="31" t="s">
        <v>1027</v>
      </c>
      <c r="D200" s="31" t="s">
        <v>1028</v>
      </c>
      <c r="E200" s="35">
        <f>LEN(Tabla1[[#This Row],[Partida]])</f>
        <v>7</v>
      </c>
      <c r="F200" s="35" t="str">
        <f>Tabla1[[#This Row],[Partida]]&amp;" : "&amp;Tabla1[[#This Row],[Descripción larga]]</f>
        <v>F-02-02 : MO - PISOS - CASETA ASOCIADOS</v>
      </c>
    </row>
    <row r="201" spans="2:6" ht="14.45" x14ac:dyDescent="0.35">
      <c r="B201" s="31" t="s">
        <v>1029</v>
      </c>
      <c r="C201" s="31" t="s">
        <v>1030</v>
      </c>
      <c r="D201" s="31" t="s">
        <v>1031</v>
      </c>
      <c r="E201" s="35">
        <f>LEN(Tabla1[[#This Row],[Partida]])</f>
        <v>7</v>
      </c>
      <c r="F201" s="35" t="str">
        <f>Tabla1[[#This Row],[Partida]]&amp;" : "&amp;Tabla1[[#This Row],[Descripción larga]]</f>
        <v>F-02-03 : SERVICIOS PROFESIONALES - PISOS - CASETA ASOCIADOS</v>
      </c>
    </row>
    <row r="202" spans="2:6" ht="14.45" x14ac:dyDescent="0.35">
      <c r="B202" s="31" t="s">
        <v>1032</v>
      </c>
      <c r="C202" s="31" t="s">
        <v>1033</v>
      </c>
      <c r="D202" s="31" t="s">
        <v>1034</v>
      </c>
      <c r="E202" s="35">
        <f>LEN(Tabla1[[#This Row],[Partida]])</f>
        <v>4</v>
      </c>
      <c r="F202" s="35" t="str">
        <f>Tabla1[[#This Row],[Partida]]&amp;" : "&amp;Tabla1[[#This Row],[Descripción larga]]</f>
        <v>F-03 : PLAFONES - CASETA ASOCIADOS</v>
      </c>
    </row>
    <row r="203" spans="2:6" ht="14.45" x14ac:dyDescent="0.35">
      <c r="B203" s="31" t="s">
        <v>1035</v>
      </c>
      <c r="C203" s="31" t="s">
        <v>1036</v>
      </c>
      <c r="D203" s="31" t="s">
        <v>1037</v>
      </c>
      <c r="E203" s="35">
        <f>LEN(Tabla1[[#This Row],[Partida]])</f>
        <v>7</v>
      </c>
      <c r="F203" s="35" t="str">
        <f>Tabla1[[#This Row],[Partida]]&amp;" : "&amp;Tabla1[[#This Row],[Descripción larga]]</f>
        <v>F-03-01 : SUBCONTRATOS - PISOS - CASETA ASOCIADOS</v>
      </c>
    </row>
    <row r="204" spans="2:6" ht="14.45" x14ac:dyDescent="0.35">
      <c r="B204" s="31" t="s">
        <v>1038</v>
      </c>
      <c r="C204" s="31" t="s">
        <v>1039</v>
      </c>
      <c r="D204" s="31" t="s">
        <v>1040</v>
      </c>
      <c r="E204" s="35">
        <f>LEN(Tabla1[[#This Row],[Partida]])</f>
        <v>4</v>
      </c>
      <c r="F204" s="35" t="str">
        <f>Tabla1[[#This Row],[Partida]]&amp;" : "&amp;Tabla1[[#This Row],[Descripción larga]]</f>
        <v>F-04 : ALBAÑILERIAS - CASETA ASOCIADOS</v>
      </c>
    </row>
    <row r="205" spans="2:6" ht="14.45" x14ac:dyDescent="0.35">
      <c r="B205" s="31" t="s">
        <v>1041</v>
      </c>
      <c r="C205" s="31" t="s">
        <v>1042</v>
      </c>
      <c r="D205" s="31" t="s">
        <v>1043</v>
      </c>
      <c r="E205" s="35">
        <f>LEN(Tabla1[[#This Row],[Partida]])</f>
        <v>7</v>
      </c>
      <c r="F205" s="35" t="str">
        <f>Tabla1[[#This Row],[Partida]]&amp;" : "&amp;Tabla1[[#This Row],[Descripción larga]]</f>
        <v>F-04-01 : MATERIALES, HERR Y EQ - ALBAÑILERIAS - CASETA ASOCIADOS</v>
      </c>
    </row>
    <row r="206" spans="2:6" ht="14.45" x14ac:dyDescent="0.35">
      <c r="B206" s="31" t="s">
        <v>1044</v>
      </c>
      <c r="C206" s="31" t="s">
        <v>1045</v>
      </c>
      <c r="D206" s="31" t="s">
        <v>1046</v>
      </c>
      <c r="E206" s="35">
        <f>LEN(Tabla1[[#This Row],[Partida]])</f>
        <v>7</v>
      </c>
      <c r="F206" s="35" t="str">
        <f>Tabla1[[#This Row],[Partida]]&amp;" : "&amp;Tabla1[[#This Row],[Descripción larga]]</f>
        <v>F-04-02 : MO - ALBAÑILERIAS - CASETA ASOCIADOS</v>
      </c>
    </row>
    <row r="207" spans="2:6" ht="14.45" x14ac:dyDescent="0.35">
      <c r="B207" s="31" t="s">
        <v>1047</v>
      </c>
      <c r="C207" s="31" t="s">
        <v>1048</v>
      </c>
      <c r="D207" s="31" t="s">
        <v>1049</v>
      </c>
      <c r="E207" s="35">
        <f>LEN(Tabla1[[#This Row],[Partida]])</f>
        <v>7</v>
      </c>
      <c r="F207" s="35" t="str">
        <f>Tabla1[[#This Row],[Partida]]&amp;" : "&amp;Tabla1[[#This Row],[Descripción larga]]</f>
        <v>F-04-03 : SERVICIOS PROFESIONALES - ALBAÑILERIAS - CASETA ASOCIADOS</v>
      </c>
    </row>
    <row r="208" spans="2:6" ht="14.45" x14ac:dyDescent="0.35">
      <c r="B208" s="31" t="s">
        <v>1050</v>
      </c>
      <c r="C208" s="31" t="s">
        <v>1051</v>
      </c>
      <c r="D208" s="31" t="s">
        <v>1052</v>
      </c>
      <c r="E208" s="35">
        <f>LEN(Tabla1[[#This Row],[Partida]])</f>
        <v>7</v>
      </c>
      <c r="F208" s="35" t="str">
        <f>Tabla1[[#This Row],[Partida]]&amp;" : "&amp;Tabla1[[#This Row],[Descripción larga]]</f>
        <v>F-04-04 : SUBCONTRATOS - ALBAÑILERIAS - CASETA ASOCIADOS</v>
      </c>
    </row>
    <row r="209" spans="2:6" ht="14.45" x14ac:dyDescent="0.35">
      <c r="B209" s="31" t="s">
        <v>1053</v>
      </c>
      <c r="C209" s="31" t="s">
        <v>1054</v>
      </c>
      <c r="D209" s="31" t="s">
        <v>1055</v>
      </c>
      <c r="E209" s="35">
        <f>LEN(Tabla1[[#This Row],[Partida]])</f>
        <v>4</v>
      </c>
      <c r="F209" s="35" t="str">
        <f>Tabla1[[#This Row],[Partida]]&amp;" : "&amp;Tabla1[[#This Row],[Descripción larga]]</f>
        <v>F-05 : ACABADOS - CASETA ASOCIADOS</v>
      </c>
    </row>
    <row r="210" spans="2:6" ht="14.45" x14ac:dyDescent="0.35">
      <c r="B210" s="31" t="s">
        <v>1056</v>
      </c>
      <c r="C210" s="31" t="s">
        <v>1057</v>
      </c>
      <c r="D210" s="31" t="s">
        <v>1058</v>
      </c>
      <c r="E210" s="35">
        <f>LEN(Tabla1[[#This Row],[Partida]])</f>
        <v>7</v>
      </c>
      <c r="F210" s="35" t="str">
        <f>Tabla1[[#This Row],[Partida]]&amp;" : "&amp;Tabla1[[#This Row],[Descripción larga]]</f>
        <v>F-05-01 : MATERIALES, HERR Y EQ - ACABADOS - CASETA ASOCIADOS</v>
      </c>
    </row>
    <row r="211" spans="2:6" ht="14.45" x14ac:dyDescent="0.35">
      <c r="B211" s="31" t="s">
        <v>1059</v>
      </c>
      <c r="C211" s="31" t="s">
        <v>1060</v>
      </c>
      <c r="D211" s="31" t="s">
        <v>1061</v>
      </c>
      <c r="E211" s="35">
        <f>LEN(Tabla1[[#This Row],[Partida]])</f>
        <v>7</v>
      </c>
      <c r="F211" s="35" t="str">
        <f>Tabla1[[#This Row],[Partida]]&amp;" : "&amp;Tabla1[[#This Row],[Descripción larga]]</f>
        <v>F-05-02 : MO - ACABADOS - CASETA ASOCIADOS</v>
      </c>
    </row>
    <row r="212" spans="2:6" ht="14.45" x14ac:dyDescent="0.35">
      <c r="B212" s="31" t="s">
        <v>1062</v>
      </c>
      <c r="C212" s="31" t="s">
        <v>1063</v>
      </c>
      <c r="D212" s="31" t="s">
        <v>1064</v>
      </c>
      <c r="E212" s="35">
        <f>LEN(Tabla1[[#This Row],[Partida]])</f>
        <v>7</v>
      </c>
      <c r="F212" s="35" t="str">
        <f>Tabla1[[#This Row],[Partida]]&amp;" : "&amp;Tabla1[[#This Row],[Descripción larga]]</f>
        <v>F-05-03 : SERVICIOS PROFESIONALES - ACABADOS - CASETA ASOCIADOS</v>
      </c>
    </row>
    <row r="213" spans="2:6" ht="14.45" x14ac:dyDescent="0.35">
      <c r="B213" s="31" t="s">
        <v>1065</v>
      </c>
      <c r="C213" s="31" t="s">
        <v>1066</v>
      </c>
      <c r="D213" s="31" t="s">
        <v>1067</v>
      </c>
      <c r="E213" s="35">
        <f>LEN(Tabla1[[#This Row],[Partida]])</f>
        <v>7</v>
      </c>
      <c r="F213" s="35" t="str">
        <f>Tabla1[[#This Row],[Partida]]&amp;" : "&amp;Tabla1[[#This Row],[Descripción larga]]</f>
        <v>F-05-04 : SUBCONTRATOS - ACABADOS - CASETA ASOCIADOS</v>
      </c>
    </row>
    <row r="214" spans="2:6" ht="14.45" x14ac:dyDescent="0.35">
      <c r="B214" s="31" t="s">
        <v>1068</v>
      </c>
      <c r="C214" s="31" t="s">
        <v>1069</v>
      </c>
      <c r="D214" s="31" t="s">
        <v>1070</v>
      </c>
      <c r="E214" s="35">
        <f>LEN(Tabla1[[#This Row],[Partida]])</f>
        <v>4</v>
      </c>
      <c r="F214" s="35" t="str">
        <f>Tabla1[[#This Row],[Partida]]&amp;" : "&amp;Tabla1[[#This Row],[Descripción larga]]</f>
        <v>F-06 : ESTRUCTURA METALICA - CASETA ASOCIADOS</v>
      </c>
    </row>
    <row r="215" spans="2:6" ht="14.45" x14ac:dyDescent="0.35">
      <c r="B215" s="31" t="s">
        <v>1071</v>
      </c>
      <c r="C215" s="31" t="s">
        <v>1072</v>
      </c>
      <c r="D215" s="31" t="s">
        <v>1073</v>
      </c>
      <c r="E215" s="35">
        <f>LEN(Tabla1[[#This Row],[Partida]])</f>
        <v>7</v>
      </c>
      <c r="F215" s="35" t="str">
        <f>Tabla1[[#This Row],[Partida]]&amp;" : "&amp;Tabla1[[#This Row],[Descripción larga]]</f>
        <v>F-06-01 : SUBCONTRATOS - ESTRUCTURA METALICA - CASETA ASOCIADOS</v>
      </c>
    </row>
    <row r="216" spans="2:6" ht="14.45" x14ac:dyDescent="0.35">
      <c r="B216" s="31" t="s">
        <v>1074</v>
      </c>
      <c r="C216" s="31" t="s">
        <v>1075</v>
      </c>
      <c r="D216" s="31" t="s">
        <v>1076</v>
      </c>
      <c r="E216" s="35">
        <f>LEN(Tabla1[[#This Row],[Partida]])</f>
        <v>4</v>
      </c>
      <c r="F216" s="35" t="str">
        <f>Tabla1[[#This Row],[Partida]]&amp;" : "&amp;Tabla1[[#This Row],[Descripción larga]]</f>
        <v>F-07 : TECHUMBRE O CUBIERTAS - CASETA ASOCIADOS</v>
      </c>
    </row>
    <row r="217" spans="2:6" ht="14.45" x14ac:dyDescent="0.35">
      <c r="B217" s="31" t="s">
        <v>1077</v>
      </c>
      <c r="C217" s="31" t="s">
        <v>1078</v>
      </c>
      <c r="D217" s="31" t="s">
        <v>1079</v>
      </c>
      <c r="E217" s="35">
        <f>LEN(Tabla1[[#This Row],[Partida]])</f>
        <v>7</v>
      </c>
      <c r="F217" s="35" t="str">
        <f>Tabla1[[#This Row],[Partida]]&amp;" : "&amp;Tabla1[[#This Row],[Descripción larga]]</f>
        <v>F-07-01 : SUBCONTRATOS - CUBIERTAS - CASETA ASOCIADOS</v>
      </c>
    </row>
    <row r="218" spans="2:6" ht="14.45" x14ac:dyDescent="0.35">
      <c r="B218" s="31" t="s">
        <v>1080</v>
      </c>
      <c r="C218" s="31" t="s">
        <v>1081</v>
      </c>
      <c r="D218" s="31" t="s">
        <v>1082</v>
      </c>
      <c r="E218" s="35">
        <f>LEN(Tabla1[[#This Row],[Partida]])</f>
        <v>4</v>
      </c>
      <c r="F218" s="35" t="str">
        <f>Tabla1[[#This Row],[Partida]]&amp;" : "&amp;Tabla1[[#This Row],[Descripción larga]]</f>
        <v>F-08 : LAMINAS EN FACHADAS - CASETA ASOCIADOS</v>
      </c>
    </row>
    <row r="219" spans="2:6" ht="14.45" x14ac:dyDescent="0.35">
      <c r="B219" s="31" t="s">
        <v>1083</v>
      </c>
      <c r="C219" s="31" t="s">
        <v>1084</v>
      </c>
      <c r="D219" s="31" t="s">
        <v>1085</v>
      </c>
      <c r="E219" s="35">
        <f>LEN(Tabla1[[#This Row],[Partida]])</f>
        <v>7</v>
      </c>
      <c r="F219" s="35" t="str">
        <f>Tabla1[[#This Row],[Partida]]&amp;" : "&amp;Tabla1[[#This Row],[Descripción larga]]</f>
        <v>F-08-01 : SUBCONTRATOS - LAMINA FACHADAS - CASETA ASOCIADOS</v>
      </c>
    </row>
    <row r="220" spans="2:6" ht="14.45" x14ac:dyDescent="0.35">
      <c r="B220" s="31" t="s">
        <v>1086</v>
      </c>
      <c r="C220" s="31" t="s">
        <v>1087</v>
      </c>
      <c r="D220" s="31" t="s">
        <v>1088</v>
      </c>
      <c r="E220" s="35">
        <f>LEN(Tabla1[[#This Row],[Partida]])</f>
        <v>4</v>
      </c>
      <c r="F220" s="35" t="str">
        <f>Tabla1[[#This Row],[Partida]]&amp;" : "&amp;Tabla1[[#This Row],[Descripción larga]]</f>
        <v>F-09 : MUEBLES SANITARIOS - CASETA ASOCIADOS</v>
      </c>
    </row>
    <row r="221" spans="2:6" ht="14.45" x14ac:dyDescent="0.35">
      <c r="B221" s="31" t="s">
        <v>1089</v>
      </c>
      <c r="C221" s="31" t="s">
        <v>1090</v>
      </c>
      <c r="D221" s="31" t="s">
        <v>1091</v>
      </c>
      <c r="E221" s="35">
        <f>LEN(Tabla1[[#This Row],[Partida]])</f>
        <v>7</v>
      </c>
      <c r="F221" s="35" t="str">
        <f>Tabla1[[#This Row],[Partida]]&amp;" : "&amp;Tabla1[[#This Row],[Descripción larga]]</f>
        <v>F-09-01 : SUBCONTRATOS - MUEBLES SANITARIOS - CASETA ASOCIADOS</v>
      </c>
    </row>
    <row r="222" spans="2:6" ht="14.45" x14ac:dyDescent="0.35">
      <c r="B222" s="31" t="s">
        <v>1092</v>
      </c>
      <c r="C222" s="31" t="s">
        <v>1093</v>
      </c>
      <c r="D222" s="31" t="s">
        <v>1094</v>
      </c>
      <c r="E222" s="35">
        <f>LEN(Tabla1[[#This Row],[Partida]])</f>
        <v>4</v>
      </c>
      <c r="F222" s="35" t="str">
        <f>Tabla1[[#This Row],[Partida]]&amp;" : "&amp;Tabla1[[#This Row],[Descripción larga]]</f>
        <v>F-10 : INSTALACIONES - CASETA ASOCIADOS</v>
      </c>
    </row>
    <row r="223" spans="2:6" ht="14.45" x14ac:dyDescent="0.35">
      <c r="B223" s="31" t="s">
        <v>1095</v>
      </c>
      <c r="C223" s="31" t="s">
        <v>1096</v>
      </c>
      <c r="D223" s="31" t="s">
        <v>1097</v>
      </c>
      <c r="E223" s="35">
        <f>LEN(Tabla1[[#This Row],[Partida]])</f>
        <v>7</v>
      </c>
      <c r="F223" s="35" t="str">
        <f>Tabla1[[#This Row],[Partida]]&amp;" : "&amp;Tabla1[[#This Row],[Descripción larga]]</f>
        <v>F-10-01 : SERVICIOS PROFESIONALES - INSTALACIONES - CASETA ASOCIADOS</v>
      </c>
    </row>
    <row r="224" spans="2:6" ht="14.45" x14ac:dyDescent="0.35">
      <c r="B224" s="31" t="s">
        <v>1098</v>
      </c>
      <c r="C224" s="31" t="s">
        <v>1099</v>
      </c>
      <c r="D224" s="31" t="s">
        <v>1100</v>
      </c>
      <c r="E224" s="35">
        <f>LEN(Tabla1[[#This Row],[Partida]])</f>
        <v>7</v>
      </c>
      <c r="F224" s="35" t="str">
        <f>Tabla1[[#This Row],[Partida]]&amp;" : "&amp;Tabla1[[#This Row],[Descripción larga]]</f>
        <v>F-10-02 : SUBCONTRATOS - INSTALACIONES - CASETA ASOCIADOS</v>
      </c>
    </row>
    <row r="225" spans="2:6" ht="14.45" x14ac:dyDescent="0.35">
      <c r="B225" s="31" t="s">
        <v>1101</v>
      </c>
      <c r="C225" s="31" t="s">
        <v>1101</v>
      </c>
      <c r="D225" s="31" t="s">
        <v>1102</v>
      </c>
      <c r="E225" s="35">
        <f>LEN(Tabla1[[#This Row],[Partida]])</f>
        <v>1</v>
      </c>
      <c r="F225" s="35" t="str">
        <f>Tabla1[[#This Row],[Partida]]&amp;" : "&amp;Tabla1[[#This Row],[Descripción larga]]</f>
        <v>G : OFICINAS EMBARQUE - CENTRO DISTRIBUCION</v>
      </c>
    </row>
    <row r="226" spans="2:6" ht="14.45" x14ac:dyDescent="0.35">
      <c r="B226" s="31" t="s">
        <v>1103</v>
      </c>
      <c r="C226" s="31" t="s">
        <v>1104</v>
      </c>
      <c r="D226" s="31" t="s">
        <v>1105</v>
      </c>
      <c r="E226" s="35">
        <f>LEN(Tabla1[[#This Row],[Partida]])</f>
        <v>4</v>
      </c>
      <c r="F226" s="35" t="str">
        <f>Tabla1[[#This Row],[Partida]]&amp;" : "&amp;Tabla1[[#This Row],[Descripción larga]]</f>
        <v>G-01 : CIMENTACION - OFICINAS EMBARQUE</v>
      </c>
    </row>
    <row r="227" spans="2:6" ht="14.45" x14ac:dyDescent="0.35">
      <c r="B227" s="31" t="s">
        <v>1106</v>
      </c>
      <c r="C227" s="31" t="s">
        <v>1107</v>
      </c>
      <c r="D227" s="31" t="s">
        <v>1108</v>
      </c>
      <c r="E227" s="35">
        <f>LEN(Tabla1[[#This Row],[Partida]])</f>
        <v>7</v>
      </c>
      <c r="F227" s="35" t="str">
        <f>Tabla1[[#This Row],[Partida]]&amp;" : "&amp;Tabla1[[#This Row],[Descripción larga]]</f>
        <v>G-01-01 : MATERIALES, HERR Y EQ - CIMENTACION - OFICINAS EMBARQUE</v>
      </c>
    </row>
    <row r="228" spans="2:6" ht="14.45" x14ac:dyDescent="0.35">
      <c r="B228" s="31" t="s">
        <v>1109</v>
      </c>
      <c r="C228" s="31" t="s">
        <v>1110</v>
      </c>
      <c r="D228" s="31" t="s">
        <v>1111</v>
      </c>
      <c r="E228" s="35">
        <f>LEN(Tabla1[[#This Row],[Partida]])</f>
        <v>7</v>
      </c>
      <c r="F228" s="35" t="str">
        <f>Tabla1[[#This Row],[Partida]]&amp;" : "&amp;Tabla1[[#This Row],[Descripción larga]]</f>
        <v>G-01-02 : MO - CIMENTACION - OFICINAS EMBARQUE</v>
      </c>
    </row>
    <row r="229" spans="2:6" ht="14.45" x14ac:dyDescent="0.35">
      <c r="B229" s="31" t="s">
        <v>1112</v>
      </c>
      <c r="C229" s="31" t="s">
        <v>1113</v>
      </c>
      <c r="D229" s="31" t="s">
        <v>1114</v>
      </c>
      <c r="E229" s="35">
        <f>LEN(Tabla1[[#This Row],[Partida]])</f>
        <v>7</v>
      </c>
      <c r="F229" s="35" t="str">
        <f>Tabla1[[#This Row],[Partida]]&amp;" : "&amp;Tabla1[[#This Row],[Descripción larga]]</f>
        <v>G-01-03 : SUBCONTRATOS - CIMENTACION - OFICINAS EMBARQUE</v>
      </c>
    </row>
    <row r="230" spans="2:6" ht="14.45" x14ac:dyDescent="0.35">
      <c r="B230" s="31" t="s">
        <v>1115</v>
      </c>
      <c r="C230" s="31" t="s">
        <v>1116</v>
      </c>
      <c r="D230" s="31" t="s">
        <v>1117</v>
      </c>
      <c r="E230" s="35">
        <f>LEN(Tabla1[[#This Row],[Partida]])</f>
        <v>4</v>
      </c>
      <c r="F230" s="35" t="str">
        <f>Tabla1[[#This Row],[Partida]]&amp;" : "&amp;Tabla1[[#This Row],[Descripción larga]]</f>
        <v>G-02 : ESTRUCTURA DE CONCRETO - OFICINAS EMBARQUE</v>
      </c>
    </row>
    <row r="231" spans="2:6" ht="14.45" x14ac:dyDescent="0.35">
      <c r="B231" s="31" t="s">
        <v>1118</v>
      </c>
      <c r="C231" s="31" t="s">
        <v>1119</v>
      </c>
      <c r="D231" s="31" t="s">
        <v>1120</v>
      </c>
      <c r="E231" s="35">
        <f>LEN(Tabla1[[#This Row],[Partida]])</f>
        <v>7</v>
      </c>
      <c r="F231" s="35" t="str">
        <f>Tabla1[[#This Row],[Partida]]&amp;" : "&amp;Tabla1[[#This Row],[Descripción larga]]</f>
        <v>G-02-01 : MATERIALES, HERR Y EQ - ESTRUCTURA DE CONCRETO - OFICINAS EMBARQUE</v>
      </c>
    </row>
    <row r="232" spans="2:6" ht="14.45" x14ac:dyDescent="0.35">
      <c r="B232" s="31" t="s">
        <v>1121</v>
      </c>
      <c r="C232" s="31" t="s">
        <v>1122</v>
      </c>
      <c r="D232" s="31" t="s">
        <v>1123</v>
      </c>
      <c r="E232" s="35">
        <f>LEN(Tabla1[[#This Row],[Partida]])</f>
        <v>7</v>
      </c>
      <c r="F232" s="35" t="str">
        <f>Tabla1[[#This Row],[Partida]]&amp;" : "&amp;Tabla1[[#This Row],[Descripción larga]]</f>
        <v>G-02-02 : MO - ESTRUCTURA DE CONCRETO - OFICINAS EMBARQUE</v>
      </c>
    </row>
    <row r="233" spans="2:6" ht="14.45" x14ac:dyDescent="0.35">
      <c r="B233" s="31" t="s">
        <v>1124</v>
      </c>
      <c r="C233" s="31" t="s">
        <v>1125</v>
      </c>
      <c r="D233" s="31" t="s">
        <v>1126</v>
      </c>
      <c r="E233" s="35">
        <f>LEN(Tabla1[[#This Row],[Partida]])</f>
        <v>4</v>
      </c>
      <c r="F233" s="35" t="str">
        <f>Tabla1[[#This Row],[Partida]]&amp;" : "&amp;Tabla1[[#This Row],[Descripción larga]]</f>
        <v>G-03 : PISOS - OFICINAS EMBARQUE</v>
      </c>
    </row>
    <row r="234" spans="2:6" ht="14.45" x14ac:dyDescent="0.35">
      <c r="B234" s="31" t="s">
        <v>1127</v>
      </c>
      <c r="C234" s="31" t="s">
        <v>1128</v>
      </c>
      <c r="D234" s="31" t="s">
        <v>1129</v>
      </c>
      <c r="E234" s="35">
        <f>LEN(Tabla1[[#This Row],[Partida]])</f>
        <v>7</v>
      </c>
      <c r="F234" s="35" t="str">
        <f>Tabla1[[#This Row],[Partida]]&amp;" : "&amp;Tabla1[[#This Row],[Descripción larga]]</f>
        <v>G-03-01 : MATERIALES, HERR Y EQ - PISOS - OFICINAS EMBARQUE</v>
      </c>
    </row>
    <row r="235" spans="2:6" ht="14.45" x14ac:dyDescent="0.35">
      <c r="B235" s="31" t="s">
        <v>1130</v>
      </c>
      <c r="C235" s="31" t="s">
        <v>1131</v>
      </c>
      <c r="D235" s="31" t="s">
        <v>1132</v>
      </c>
      <c r="E235" s="35">
        <f>LEN(Tabla1[[#This Row],[Partida]])</f>
        <v>7</v>
      </c>
      <c r="F235" s="35" t="str">
        <f>Tabla1[[#This Row],[Partida]]&amp;" : "&amp;Tabla1[[#This Row],[Descripción larga]]</f>
        <v>G-03-02 : MO - PISOS - OFICINAS EMBARQUE</v>
      </c>
    </row>
    <row r="236" spans="2:6" ht="14.45" x14ac:dyDescent="0.35">
      <c r="B236" s="31" t="s">
        <v>1133</v>
      </c>
      <c r="C236" s="31" t="s">
        <v>1134</v>
      </c>
      <c r="D236" s="31" t="s">
        <v>1135</v>
      </c>
      <c r="E236" s="35">
        <f>LEN(Tabla1[[#This Row],[Partida]])</f>
        <v>7</v>
      </c>
      <c r="F236" s="35" t="str">
        <f>Tabla1[[#This Row],[Partida]]&amp;" : "&amp;Tabla1[[#This Row],[Descripción larga]]</f>
        <v>G-03-03 : SERVICIOS PROFESIONALES - PISOS - OFICINAS EMBARQUE</v>
      </c>
    </row>
    <row r="237" spans="2:6" ht="14.45" x14ac:dyDescent="0.35">
      <c r="B237" s="31" t="s">
        <v>1136</v>
      </c>
      <c r="C237" s="31" t="s">
        <v>1137</v>
      </c>
      <c r="D237" s="31" t="s">
        <v>1138</v>
      </c>
      <c r="E237" s="35">
        <f>LEN(Tabla1[[#This Row],[Partida]])</f>
        <v>4</v>
      </c>
      <c r="F237" s="35" t="str">
        <f>Tabla1[[#This Row],[Partida]]&amp;" : "&amp;Tabla1[[#This Row],[Descripción larga]]</f>
        <v>G-04 : PLAFONES - OFICINAS EMBARQUE</v>
      </c>
    </row>
    <row r="238" spans="2:6" ht="14.45" x14ac:dyDescent="0.35">
      <c r="B238" s="31" t="s">
        <v>1139</v>
      </c>
      <c r="C238" s="31" t="s">
        <v>1140</v>
      </c>
      <c r="D238" s="31" t="s">
        <v>1141</v>
      </c>
      <c r="E238" s="35">
        <f>LEN(Tabla1[[#This Row],[Partida]])</f>
        <v>7</v>
      </c>
      <c r="F238" s="35" t="str">
        <f>Tabla1[[#This Row],[Partida]]&amp;" : "&amp;Tabla1[[#This Row],[Descripción larga]]</f>
        <v>G-04-01 : SUBCONTRATOS - PLAFONES - OFICINAS EMBARQUE</v>
      </c>
    </row>
    <row r="239" spans="2:6" ht="14.45" x14ac:dyDescent="0.35">
      <c r="B239" s="31" t="s">
        <v>1142</v>
      </c>
      <c r="C239" s="31" t="s">
        <v>1143</v>
      </c>
      <c r="D239" s="31" t="s">
        <v>1144</v>
      </c>
      <c r="E239" s="35">
        <f>LEN(Tabla1[[#This Row],[Partida]])</f>
        <v>4</v>
      </c>
      <c r="F239" s="35" t="str">
        <f>Tabla1[[#This Row],[Partida]]&amp;" : "&amp;Tabla1[[#This Row],[Descripción larga]]</f>
        <v>G-05 : ALBAÑILERIAS - OFICINAS EMBARQUE</v>
      </c>
    </row>
    <row r="240" spans="2:6" ht="14.45" x14ac:dyDescent="0.35">
      <c r="B240" s="31" t="s">
        <v>1145</v>
      </c>
      <c r="C240" s="31" t="s">
        <v>1146</v>
      </c>
      <c r="D240" s="31" t="s">
        <v>1147</v>
      </c>
      <c r="E240" s="35">
        <f>LEN(Tabla1[[#This Row],[Partida]])</f>
        <v>7</v>
      </c>
      <c r="F240" s="35" t="str">
        <f>Tabla1[[#This Row],[Partida]]&amp;" : "&amp;Tabla1[[#This Row],[Descripción larga]]</f>
        <v>G-05-01 : MATERIALES, HERR Y EQ - ALBAÑILERIAS - OFICINAS EMBARQUE</v>
      </c>
    </row>
    <row r="241" spans="2:6" ht="14.45" x14ac:dyDescent="0.35">
      <c r="B241" s="31" t="s">
        <v>1148</v>
      </c>
      <c r="C241" s="31" t="s">
        <v>1149</v>
      </c>
      <c r="D241" s="31" t="s">
        <v>1150</v>
      </c>
      <c r="E241" s="35">
        <f>LEN(Tabla1[[#This Row],[Partida]])</f>
        <v>7</v>
      </c>
      <c r="F241" s="35" t="str">
        <f>Tabla1[[#This Row],[Partida]]&amp;" : "&amp;Tabla1[[#This Row],[Descripción larga]]</f>
        <v>G-05-02 : MO - ALBAÑILERIAS - OFICINAS EMBARQUE</v>
      </c>
    </row>
    <row r="242" spans="2:6" ht="14.45" x14ac:dyDescent="0.35">
      <c r="B242" s="31" t="s">
        <v>1151</v>
      </c>
      <c r="C242" s="31" t="s">
        <v>1152</v>
      </c>
      <c r="D242" s="31" t="s">
        <v>1153</v>
      </c>
      <c r="E242" s="35">
        <f>LEN(Tabla1[[#This Row],[Partida]])</f>
        <v>7</v>
      </c>
      <c r="F242" s="35" t="str">
        <f>Tabla1[[#This Row],[Partida]]&amp;" : "&amp;Tabla1[[#This Row],[Descripción larga]]</f>
        <v>G-05-03 : SERVICIOS PROFESIONALES - ALBAÑILERIAS - OFICINAS EMBARQUE</v>
      </c>
    </row>
    <row r="243" spans="2:6" ht="14.45" x14ac:dyDescent="0.35">
      <c r="B243" s="31" t="s">
        <v>1154</v>
      </c>
      <c r="C243" s="31" t="s">
        <v>1155</v>
      </c>
      <c r="D243" s="31" t="s">
        <v>1156</v>
      </c>
      <c r="E243" s="35">
        <f>LEN(Tabla1[[#This Row],[Partida]])</f>
        <v>7</v>
      </c>
      <c r="F243" s="35" t="str">
        <f>Tabla1[[#This Row],[Partida]]&amp;" : "&amp;Tabla1[[#This Row],[Descripción larga]]</f>
        <v>G-05-04 : SUBCONTRATOS - ALBAÑILERIAS - OFICINAS EMBARQUE</v>
      </c>
    </row>
    <row r="244" spans="2:6" ht="14.45" x14ac:dyDescent="0.35">
      <c r="B244" s="31" t="s">
        <v>1157</v>
      </c>
      <c r="C244" s="31" t="s">
        <v>1158</v>
      </c>
      <c r="D244" s="31" t="s">
        <v>1159</v>
      </c>
      <c r="E244" s="35">
        <f>LEN(Tabla1[[#This Row],[Partida]])</f>
        <v>4</v>
      </c>
      <c r="F244" s="35" t="str">
        <f>Tabla1[[#This Row],[Partida]]&amp;" : "&amp;Tabla1[[#This Row],[Descripción larga]]</f>
        <v>G-06 : ACABADOS - OFICINAS EMBARQUE</v>
      </c>
    </row>
    <row r="245" spans="2:6" ht="14.45" x14ac:dyDescent="0.35">
      <c r="B245" s="31" t="s">
        <v>1160</v>
      </c>
      <c r="C245" s="31" t="s">
        <v>1161</v>
      </c>
      <c r="D245" s="31" t="s">
        <v>1162</v>
      </c>
      <c r="E245" s="35">
        <f>LEN(Tabla1[[#This Row],[Partida]])</f>
        <v>7</v>
      </c>
      <c r="F245" s="35" t="str">
        <f>Tabla1[[#This Row],[Partida]]&amp;" : "&amp;Tabla1[[#This Row],[Descripción larga]]</f>
        <v>G-06-01 : MATERIALES, HERR Y EQ - ACABADOS - OFICINAS EMBARQUE</v>
      </c>
    </row>
    <row r="246" spans="2:6" ht="14.45" x14ac:dyDescent="0.35">
      <c r="B246" s="31" t="s">
        <v>1163</v>
      </c>
      <c r="C246" s="31" t="s">
        <v>1164</v>
      </c>
      <c r="D246" s="31" t="s">
        <v>1165</v>
      </c>
      <c r="E246" s="35">
        <f>LEN(Tabla1[[#This Row],[Partida]])</f>
        <v>7</v>
      </c>
      <c r="F246" s="35" t="str">
        <f>Tabla1[[#This Row],[Partida]]&amp;" : "&amp;Tabla1[[#This Row],[Descripción larga]]</f>
        <v>G-06-02 : MO - ACABADOS - OFICINAS EMBARQUE</v>
      </c>
    </row>
    <row r="247" spans="2:6" ht="14.45" x14ac:dyDescent="0.35">
      <c r="B247" s="31" t="s">
        <v>1166</v>
      </c>
      <c r="C247" s="31" t="s">
        <v>1167</v>
      </c>
      <c r="D247" s="31" t="s">
        <v>1168</v>
      </c>
      <c r="E247" s="35">
        <f>LEN(Tabla1[[#This Row],[Partida]])</f>
        <v>7</v>
      </c>
      <c r="F247" s="35" t="str">
        <f>Tabla1[[#This Row],[Partida]]&amp;" : "&amp;Tabla1[[#This Row],[Descripción larga]]</f>
        <v>G-06-03 : SERVICIOS PROFESIONALES - ACABADOS - OFICINAS EMBARQUE</v>
      </c>
    </row>
    <row r="248" spans="2:6" ht="14.45" x14ac:dyDescent="0.35">
      <c r="B248" s="31" t="s">
        <v>1169</v>
      </c>
      <c r="C248" s="31" t="s">
        <v>1170</v>
      </c>
      <c r="D248" s="31" t="s">
        <v>1171</v>
      </c>
      <c r="E248" s="35">
        <f>LEN(Tabla1[[#This Row],[Partida]])</f>
        <v>7</v>
      </c>
      <c r="F248" s="35" t="str">
        <f>Tabla1[[#This Row],[Partida]]&amp;" : "&amp;Tabla1[[#This Row],[Descripción larga]]</f>
        <v>G-06-04 : SUBCONTRATOS  - ACABADOS - OFICINAS EMBARQUE</v>
      </c>
    </row>
    <row r="249" spans="2:6" ht="14.45" x14ac:dyDescent="0.35">
      <c r="B249" s="31" t="s">
        <v>1172</v>
      </c>
      <c r="C249" s="31" t="s">
        <v>1173</v>
      </c>
      <c r="D249" s="31" t="s">
        <v>1174</v>
      </c>
      <c r="E249" s="35">
        <f>LEN(Tabla1[[#This Row],[Partida]])</f>
        <v>4</v>
      </c>
      <c r="F249" s="35" t="str">
        <f>Tabla1[[#This Row],[Partida]]&amp;" : "&amp;Tabla1[[#This Row],[Descripción larga]]</f>
        <v>G-07 : ESTRUCTURA METALICA - OFICINAS EMBARQUE</v>
      </c>
    </row>
    <row r="250" spans="2:6" ht="14.45" x14ac:dyDescent="0.35">
      <c r="B250" s="31" t="s">
        <v>1175</v>
      </c>
      <c r="C250" s="31" t="s">
        <v>1176</v>
      </c>
      <c r="D250" s="31" t="s">
        <v>1177</v>
      </c>
      <c r="E250" s="35">
        <f>LEN(Tabla1[[#This Row],[Partida]])</f>
        <v>7</v>
      </c>
      <c r="F250" s="35" t="str">
        <f>Tabla1[[#This Row],[Partida]]&amp;" : "&amp;Tabla1[[#This Row],[Descripción larga]]</f>
        <v>G-07-01 : SUBCONTRATOS - EM - OFICINAS EMBARQUE</v>
      </c>
    </row>
    <row r="251" spans="2:6" ht="14.45" x14ac:dyDescent="0.35">
      <c r="B251" s="31" t="s">
        <v>1178</v>
      </c>
      <c r="C251" s="31" t="s">
        <v>1179</v>
      </c>
      <c r="D251" s="31" t="s">
        <v>1180</v>
      </c>
      <c r="E251" s="35">
        <f>LEN(Tabla1[[#This Row],[Partida]])</f>
        <v>4</v>
      </c>
      <c r="F251" s="35" t="str">
        <f>Tabla1[[#This Row],[Partida]]&amp;" : "&amp;Tabla1[[#This Row],[Descripción larga]]</f>
        <v>G-08 : TECHUMBRE O CUBIERTA - OFICINAS EMBARQUE</v>
      </c>
    </row>
    <row r="252" spans="2:6" ht="14.45" x14ac:dyDescent="0.35">
      <c r="B252" s="31" t="s">
        <v>1181</v>
      </c>
      <c r="C252" s="31" t="s">
        <v>1182</v>
      </c>
      <c r="D252" s="31" t="s">
        <v>1183</v>
      </c>
      <c r="E252" s="35">
        <f>LEN(Tabla1[[#This Row],[Partida]])</f>
        <v>7</v>
      </c>
      <c r="F252" s="35" t="str">
        <f>Tabla1[[#This Row],[Partida]]&amp;" : "&amp;Tabla1[[#This Row],[Descripción larga]]</f>
        <v>G-08-01 : SERVICIOS PROFESIONALES - CUBIERTA - OFICINAS EMBARQUE</v>
      </c>
    </row>
    <row r="253" spans="2:6" ht="14.45" x14ac:dyDescent="0.35">
      <c r="B253" s="31" t="s">
        <v>1184</v>
      </c>
      <c r="C253" s="31" t="s">
        <v>1185</v>
      </c>
      <c r="D253" s="31" t="s">
        <v>1186</v>
      </c>
      <c r="E253" s="35">
        <f>LEN(Tabla1[[#This Row],[Partida]])</f>
        <v>4</v>
      </c>
      <c r="F253" s="35" t="str">
        <f>Tabla1[[#This Row],[Partida]]&amp;" : "&amp;Tabla1[[#This Row],[Descripción larga]]</f>
        <v>G-09 : MUEBLES SANITARIOS - OFICINAS EMBARQUE</v>
      </c>
    </row>
    <row r="254" spans="2:6" ht="14.45" x14ac:dyDescent="0.35">
      <c r="B254" s="31" t="s">
        <v>1187</v>
      </c>
      <c r="C254" s="31" t="s">
        <v>1188</v>
      </c>
      <c r="D254" s="31" t="s">
        <v>1189</v>
      </c>
      <c r="E254" s="35">
        <f>LEN(Tabla1[[#This Row],[Partida]])</f>
        <v>7</v>
      </c>
      <c r="F254" s="35" t="str">
        <f>Tabla1[[#This Row],[Partida]]&amp;" : "&amp;Tabla1[[#This Row],[Descripción larga]]</f>
        <v>G-09-01 : SUBCONTRATOS - MUEBLES SANITARIOS - OFICINAS EMBARQUE</v>
      </c>
    </row>
    <row r="255" spans="2:6" ht="14.45" x14ac:dyDescent="0.35">
      <c r="B255" s="31" t="s">
        <v>1190</v>
      </c>
      <c r="C255" s="31" t="s">
        <v>1191</v>
      </c>
      <c r="D255" s="31" t="s">
        <v>1192</v>
      </c>
      <c r="E255" s="35">
        <f>LEN(Tabla1[[#This Row],[Partida]])</f>
        <v>4</v>
      </c>
      <c r="F255" s="35" t="str">
        <f>Tabla1[[#This Row],[Partida]]&amp;" : "&amp;Tabla1[[#This Row],[Descripción larga]]</f>
        <v>G-10 : INSTALACIONES - OFICINAS EMBARQUE</v>
      </c>
    </row>
    <row r="256" spans="2:6" ht="14.45" x14ac:dyDescent="0.35">
      <c r="B256" s="31" t="s">
        <v>1193</v>
      </c>
      <c r="C256" s="31" t="s">
        <v>1194</v>
      </c>
      <c r="D256" s="31" t="s">
        <v>1195</v>
      </c>
      <c r="E256" s="35">
        <f>LEN(Tabla1[[#This Row],[Partida]])</f>
        <v>7</v>
      </c>
      <c r="F256" s="35" t="str">
        <f>Tabla1[[#This Row],[Partida]]&amp;" : "&amp;Tabla1[[#This Row],[Descripción larga]]</f>
        <v>G-10-01 : MATERIALES, HERR Y EQ - INSTALACIONES - OFICINAS EMBARQUE</v>
      </c>
    </row>
    <row r="257" spans="2:6" ht="14.45" x14ac:dyDescent="0.35">
      <c r="B257" s="31" t="s">
        <v>1196</v>
      </c>
      <c r="C257" s="31" t="s">
        <v>1197</v>
      </c>
      <c r="D257" s="31" t="s">
        <v>1198</v>
      </c>
      <c r="E257" s="35">
        <f>LEN(Tabla1[[#This Row],[Partida]])</f>
        <v>7</v>
      </c>
      <c r="F257" s="35" t="str">
        <f>Tabla1[[#This Row],[Partida]]&amp;" : "&amp;Tabla1[[#This Row],[Descripción larga]]</f>
        <v>G-10-02 : MO - INSTALACIONES - OFICINAS EMBARQUE</v>
      </c>
    </row>
    <row r="258" spans="2:6" ht="14.45" x14ac:dyDescent="0.35">
      <c r="B258" s="31" t="s">
        <v>1199</v>
      </c>
      <c r="C258" s="31" t="s">
        <v>1200</v>
      </c>
      <c r="D258" s="31" t="s">
        <v>1201</v>
      </c>
      <c r="E258" s="35">
        <f>LEN(Tabla1[[#This Row],[Partida]])</f>
        <v>7</v>
      </c>
      <c r="F258" s="35" t="str">
        <f>Tabla1[[#This Row],[Partida]]&amp;" : "&amp;Tabla1[[#This Row],[Descripción larga]]</f>
        <v>G-10-03 : SERVICIOS PROFESIONALES - INSTALACIONES - OFICINAS EMBARQUE</v>
      </c>
    </row>
    <row r="259" spans="2:6" ht="14.45" x14ac:dyDescent="0.35">
      <c r="B259" s="31" t="s">
        <v>1202</v>
      </c>
      <c r="C259" s="31" t="s">
        <v>1203</v>
      </c>
      <c r="D259" s="31" t="s">
        <v>1204</v>
      </c>
      <c r="E259" s="35">
        <f>LEN(Tabla1[[#This Row],[Partida]])</f>
        <v>7</v>
      </c>
      <c r="F259" s="35" t="str">
        <f>Tabla1[[#This Row],[Partida]]&amp;" : "&amp;Tabla1[[#This Row],[Descripción larga]]</f>
        <v>G-10-04 : SUBCONTRATOS - INSTALACIONES - OFICINAS EMBARQUE</v>
      </c>
    </row>
    <row r="260" spans="2:6" ht="14.45" x14ac:dyDescent="0.35">
      <c r="B260" s="31" t="s">
        <v>1205</v>
      </c>
      <c r="C260" s="31" t="s">
        <v>1205</v>
      </c>
      <c r="D260" s="31" t="s">
        <v>1206</v>
      </c>
      <c r="E260" s="35">
        <f>LEN(Tabla1[[#This Row],[Partida]])</f>
        <v>1</v>
      </c>
      <c r="F260" s="35" t="str">
        <f>Tabla1[[#This Row],[Partida]]&amp;" : "&amp;Tabla1[[#This Row],[Descripción larga]]</f>
        <v>H : TMG - CENTRO DISTRIBUCION</v>
      </c>
    </row>
    <row r="261" spans="2:6" ht="14.45" x14ac:dyDescent="0.35">
      <c r="B261" s="31" t="s">
        <v>1207</v>
      </c>
      <c r="C261" s="31" t="s">
        <v>1208</v>
      </c>
      <c r="D261" s="31" t="s">
        <v>1209</v>
      </c>
      <c r="E261" s="35">
        <f>LEN(Tabla1[[#This Row],[Partida]])</f>
        <v>4</v>
      </c>
      <c r="F261" s="35" t="str">
        <f>Tabla1[[#This Row],[Partida]]&amp;" : "&amp;Tabla1[[#This Row],[Descripción larga]]</f>
        <v>H-01 : CIMENTACION - TMG</v>
      </c>
    </row>
    <row r="262" spans="2:6" ht="14.45" x14ac:dyDescent="0.35">
      <c r="B262" s="31" t="s">
        <v>1210</v>
      </c>
      <c r="C262" s="31" t="s">
        <v>1211</v>
      </c>
      <c r="D262" s="31" t="s">
        <v>1212</v>
      </c>
      <c r="E262" s="35">
        <f>LEN(Tabla1[[#This Row],[Partida]])</f>
        <v>7</v>
      </c>
      <c r="F262" s="35" t="str">
        <f>Tabla1[[#This Row],[Partida]]&amp;" : "&amp;Tabla1[[#This Row],[Descripción larga]]</f>
        <v>H-01-01 : MATERIALES, HERR Y EQ - CIMENTACION - TMG</v>
      </c>
    </row>
    <row r="263" spans="2:6" ht="14.45" x14ac:dyDescent="0.35">
      <c r="B263" s="31" t="s">
        <v>1213</v>
      </c>
      <c r="C263" s="31" t="s">
        <v>1214</v>
      </c>
      <c r="D263" s="31" t="s">
        <v>1215</v>
      </c>
      <c r="E263" s="35">
        <f>LEN(Tabla1[[#This Row],[Partida]])</f>
        <v>7</v>
      </c>
      <c r="F263" s="35" t="str">
        <f>Tabla1[[#This Row],[Partida]]&amp;" : "&amp;Tabla1[[#This Row],[Descripción larga]]</f>
        <v>H-01-02 : MO - CIMENTACION - TMG</v>
      </c>
    </row>
    <row r="264" spans="2:6" ht="14.45" x14ac:dyDescent="0.35">
      <c r="B264" s="31" t="s">
        <v>1216</v>
      </c>
      <c r="C264" s="31" t="s">
        <v>1217</v>
      </c>
      <c r="D264" s="31" t="s">
        <v>1218</v>
      </c>
      <c r="E264" s="35">
        <f>LEN(Tabla1[[#This Row],[Partida]])</f>
        <v>7</v>
      </c>
      <c r="F264" s="35" t="str">
        <f>Tabla1[[#This Row],[Partida]]&amp;" : "&amp;Tabla1[[#This Row],[Descripción larga]]</f>
        <v>H-01-03 : SUBCONTRATOS - CIMENTACION - TMG</v>
      </c>
    </row>
    <row r="265" spans="2:6" ht="14.45" x14ac:dyDescent="0.35">
      <c r="B265" s="31" t="s">
        <v>1219</v>
      </c>
      <c r="C265" s="31" t="s">
        <v>1220</v>
      </c>
      <c r="D265" s="31" t="s">
        <v>1221</v>
      </c>
      <c r="E265" s="35">
        <f>LEN(Tabla1[[#This Row],[Partida]])</f>
        <v>4</v>
      </c>
      <c r="F265" s="35" t="str">
        <f>Tabla1[[#This Row],[Partida]]&amp;" : "&amp;Tabla1[[#This Row],[Descripción larga]]</f>
        <v>H-02 : PISOS - TMG</v>
      </c>
    </row>
    <row r="266" spans="2:6" ht="14.45" x14ac:dyDescent="0.35">
      <c r="B266" s="31" t="s">
        <v>1222</v>
      </c>
      <c r="C266" s="31" t="s">
        <v>1223</v>
      </c>
      <c r="D266" s="31" t="s">
        <v>1224</v>
      </c>
      <c r="E266" s="35">
        <f>LEN(Tabla1[[#This Row],[Partida]])</f>
        <v>7</v>
      </c>
      <c r="F266" s="35" t="str">
        <f>Tabla1[[#This Row],[Partida]]&amp;" : "&amp;Tabla1[[#This Row],[Descripción larga]]</f>
        <v>H-02-01 : MATERIALES, HERR Y EQ - PISOS - TMG</v>
      </c>
    </row>
    <row r="267" spans="2:6" ht="14.45" x14ac:dyDescent="0.35">
      <c r="B267" s="31" t="s">
        <v>1225</v>
      </c>
      <c r="C267" s="31" t="s">
        <v>1226</v>
      </c>
      <c r="D267" s="31" t="s">
        <v>1227</v>
      </c>
      <c r="E267" s="35">
        <f>LEN(Tabla1[[#This Row],[Partida]])</f>
        <v>7</v>
      </c>
      <c r="F267" s="35" t="str">
        <f>Tabla1[[#This Row],[Partida]]&amp;" : "&amp;Tabla1[[#This Row],[Descripción larga]]</f>
        <v>H-02-02 : MO - PISOS - TMG</v>
      </c>
    </row>
    <row r="268" spans="2:6" ht="14.45" x14ac:dyDescent="0.35">
      <c r="B268" s="31" t="s">
        <v>1228</v>
      </c>
      <c r="C268" s="31" t="s">
        <v>1229</v>
      </c>
      <c r="D268" s="31" t="s">
        <v>1230</v>
      </c>
      <c r="E268" s="35">
        <f>LEN(Tabla1[[#This Row],[Partida]])</f>
        <v>7</v>
      </c>
      <c r="F268" s="35" t="str">
        <f>Tabla1[[#This Row],[Partida]]&amp;" : "&amp;Tabla1[[#This Row],[Descripción larga]]</f>
        <v>H-02-03 : SERVICIOS PROFESIONALES - PISOS - TMG</v>
      </c>
    </row>
    <row r="269" spans="2:6" ht="14.45" x14ac:dyDescent="0.35">
      <c r="B269" s="31" t="s">
        <v>1231</v>
      </c>
      <c r="C269" s="31" t="s">
        <v>1232</v>
      </c>
      <c r="D269" s="31" t="s">
        <v>1233</v>
      </c>
      <c r="E269" s="35">
        <f>LEN(Tabla1[[#This Row],[Partida]])</f>
        <v>7</v>
      </c>
      <c r="F269" s="35" t="str">
        <f>Tabla1[[#This Row],[Partida]]&amp;" : "&amp;Tabla1[[#This Row],[Descripción larga]]</f>
        <v>H-02-04 : SUBCONTRATOS - PISOS - TMG</v>
      </c>
    </row>
    <row r="270" spans="2:6" ht="14.45" x14ac:dyDescent="0.35">
      <c r="B270" s="31" t="s">
        <v>1234</v>
      </c>
      <c r="C270" s="31" t="s">
        <v>1235</v>
      </c>
      <c r="D270" s="31" t="s">
        <v>1236</v>
      </c>
      <c r="E270" s="35">
        <f>LEN(Tabla1[[#This Row],[Partida]])</f>
        <v>4</v>
      </c>
      <c r="F270" s="35" t="str">
        <f>Tabla1[[#This Row],[Partida]]&amp;" : "&amp;Tabla1[[#This Row],[Descripción larga]]</f>
        <v>H-03 : ALBAÑILERIAS - TMG</v>
      </c>
    </row>
    <row r="271" spans="2:6" ht="14.45" x14ac:dyDescent="0.35">
      <c r="B271" s="31" t="s">
        <v>1237</v>
      </c>
      <c r="C271" s="31" t="s">
        <v>1238</v>
      </c>
      <c r="D271" s="31" t="s">
        <v>1239</v>
      </c>
      <c r="E271" s="35">
        <f>LEN(Tabla1[[#This Row],[Partida]])</f>
        <v>7</v>
      </c>
      <c r="F271" s="35" t="str">
        <f>Tabla1[[#This Row],[Partida]]&amp;" : "&amp;Tabla1[[#This Row],[Descripción larga]]</f>
        <v>H-03-01 : MATERIALES, HERR Y EQ - ALBAÑILERIAS - TMG</v>
      </c>
    </row>
    <row r="272" spans="2:6" ht="14.45" x14ac:dyDescent="0.35">
      <c r="B272" s="31" t="s">
        <v>1240</v>
      </c>
      <c r="C272" s="31" t="s">
        <v>1241</v>
      </c>
      <c r="D272" s="31" t="s">
        <v>1242</v>
      </c>
      <c r="E272" s="35">
        <f>LEN(Tabla1[[#This Row],[Partida]])</f>
        <v>7</v>
      </c>
      <c r="F272" s="35" t="str">
        <f>Tabla1[[#This Row],[Partida]]&amp;" : "&amp;Tabla1[[#This Row],[Descripción larga]]</f>
        <v>H-03-02 : MO - ALBAÑILERIAS - TMG</v>
      </c>
    </row>
    <row r="273" spans="2:6" ht="14.45" x14ac:dyDescent="0.35">
      <c r="B273" s="31" t="s">
        <v>1243</v>
      </c>
      <c r="C273" s="31" t="s">
        <v>1244</v>
      </c>
      <c r="D273" s="31" t="s">
        <v>1245</v>
      </c>
      <c r="E273" s="35">
        <f>LEN(Tabla1[[#This Row],[Partida]])</f>
        <v>7</v>
      </c>
      <c r="F273" s="35" t="str">
        <f>Tabla1[[#This Row],[Partida]]&amp;" : "&amp;Tabla1[[#This Row],[Descripción larga]]</f>
        <v>H-03-03 : SERVICIOS PROFESIONALES - ALBAÑILERIAS - TMG</v>
      </c>
    </row>
    <row r="274" spans="2:6" ht="14.45" x14ac:dyDescent="0.35">
      <c r="B274" s="31" t="s">
        <v>1246</v>
      </c>
      <c r="C274" s="31" t="s">
        <v>1247</v>
      </c>
      <c r="D274" s="31" t="s">
        <v>1248</v>
      </c>
      <c r="E274" s="35">
        <f>LEN(Tabla1[[#This Row],[Partida]])</f>
        <v>7</v>
      </c>
      <c r="F274" s="35" t="str">
        <f>Tabla1[[#This Row],[Partida]]&amp;" : "&amp;Tabla1[[#This Row],[Descripción larga]]</f>
        <v>H-03-04 : SUBCONTRATOS - ALBAÑILERIAS - TMG</v>
      </c>
    </row>
    <row r="275" spans="2:6" ht="14.45" x14ac:dyDescent="0.35">
      <c r="B275" s="31" t="s">
        <v>1249</v>
      </c>
      <c r="C275" s="31" t="s">
        <v>1250</v>
      </c>
      <c r="D275" s="31" t="s">
        <v>1251</v>
      </c>
      <c r="E275" s="35">
        <f>LEN(Tabla1[[#This Row],[Partida]])</f>
        <v>4</v>
      </c>
      <c r="F275" s="35" t="str">
        <f>Tabla1[[#This Row],[Partida]]&amp;" : "&amp;Tabla1[[#This Row],[Descripción larga]]</f>
        <v>H-04 : ACABADOS - TMG</v>
      </c>
    </row>
    <row r="276" spans="2:6" ht="14.45" x14ac:dyDescent="0.35">
      <c r="B276" s="31" t="s">
        <v>1252</v>
      </c>
      <c r="C276" s="31" t="s">
        <v>1253</v>
      </c>
      <c r="D276" s="31" t="s">
        <v>1254</v>
      </c>
      <c r="E276" s="35">
        <f>LEN(Tabla1[[#This Row],[Partida]])</f>
        <v>7</v>
      </c>
      <c r="F276" s="35" t="str">
        <f>Tabla1[[#This Row],[Partida]]&amp;" : "&amp;Tabla1[[#This Row],[Descripción larga]]</f>
        <v>H-04-01 : MATERIALES, HERR Y EQ - ACABADOS - TMG</v>
      </c>
    </row>
    <row r="277" spans="2:6" ht="14.45" x14ac:dyDescent="0.35">
      <c r="B277" s="31" t="s">
        <v>1255</v>
      </c>
      <c r="C277" s="31" t="s">
        <v>1256</v>
      </c>
      <c r="D277" s="31" t="s">
        <v>1257</v>
      </c>
      <c r="E277" s="35">
        <f>LEN(Tabla1[[#This Row],[Partida]])</f>
        <v>7</v>
      </c>
      <c r="F277" s="35" t="str">
        <f>Tabla1[[#This Row],[Partida]]&amp;" : "&amp;Tabla1[[#This Row],[Descripción larga]]</f>
        <v>H-04-02 : MO - ACABADOS - TMG</v>
      </c>
    </row>
    <row r="278" spans="2:6" ht="14.45" x14ac:dyDescent="0.35">
      <c r="B278" s="31" t="s">
        <v>1258</v>
      </c>
      <c r="C278" s="31" t="s">
        <v>1259</v>
      </c>
      <c r="D278" s="31" t="s">
        <v>1260</v>
      </c>
      <c r="E278" s="35">
        <f>LEN(Tabla1[[#This Row],[Partida]])</f>
        <v>7</v>
      </c>
      <c r="F278" s="35" t="str">
        <f>Tabla1[[#This Row],[Partida]]&amp;" : "&amp;Tabla1[[#This Row],[Descripción larga]]</f>
        <v>H-04-03 : SERVICIOS PROFESIONALES - ACABADOS - TMG</v>
      </c>
    </row>
    <row r="279" spans="2:6" ht="14.45" x14ac:dyDescent="0.35">
      <c r="B279" s="31" t="s">
        <v>1261</v>
      </c>
      <c r="C279" s="31" t="s">
        <v>1262</v>
      </c>
      <c r="D279" s="31" t="s">
        <v>1263</v>
      </c>
      <c r="E279" s="35">
        <f>LEN(Tabla1[[#This Row],[Partida]])</f>
        <v>7</v>
      </c>
      <c r="F279" s="35" t="str">
        <f>Tabla1[[#This Row],[Partida]]&amp;" : "&amp;Tabla1[[#This Row],[Descripción larga]]</f>
        <v>H-04-04 : SUBCONTRATOS - ACABADOS - TMG</v>
      </c>
    </row>
    <row r="280" spans="2:6" ht="14.45" x14ac:dyDescent="0.35">
      <c r="B280" s="31" t="s">
        <v>1264</v>
      </c>
      <c r="C280" s="31" t="s">
        <v>1265</v>
      </c>
      <c r="D280" s="31" t="s">
        <v>1266</v>
      </c>
      <c r="E280" s="35">
        <f>LEN(Tabla1[[#This Row],[Partida]])</f>
        <v>4</v>
      </c>
      <c r="F280" s="35" t="str">
        <f>Tabla1[[#This Row],[Partida]]&amp;" : "&amp;Tabla1[[#This Row],[Descripción larga]]</f>
        <v>H-05 : ESTRUCTURA METALICA - TMG</v>
      </c>
    </row>
    <row r="281" spans="2:6" ht="14.45" x14ac:dyDescent="0.35">
      <c r="B281" s="31" t="s">
        <v>1267</v>
      </c>
      <c r="C281" s="31" t="s">
        <v>1268</v>
      </c>
      <c r="D281" s="31" t="s">
        <v>1269</v>
      </c>
      <c r="E281" s="35">
        <f>LEN(Tabla1[[#This Row],[Partida]])</f>
        <v>7</v>
      </c>
      <c r="F281" s="35" t="str">
        <f>Tabla1[[#This Row],[Partida]]&amp;" : "&amp;Tabla1[[#This Row],[Descripción larga]]</f>
        <v>H-05-01 : SUBCONTRATOS - EM - TMG</v>
      </c>
    </row>
    <row r="282" spans="2:6" ht="14.45" x14ac:dyDescent="0.35">
      <c r="B282" s="31" t="s">
        <v>1270</v>
      </c>
      <c r="C282" s="31" t="s">
        <v>1271</v>
      </c>
      <c r="D282" s="31" t="s">
        <v>1272</v>
      </c>
      <c r="E282" s="35">
        <f>LEN(Tabla1[[#This Row],[Partida]])</f>
        <v>4</v>
      </c>
      <c r="F282" s="35" t="str">
        <f>Tabla1[[#This Row],[Partida]]&amp;" : "&amp;Tabla1[[#This Row],[Descripción larga]]</f>
        <v>H-06 : TECHUMBRE O CUBIERTAS - TMG</v>
      </c>
    </row>
    <row r="283" spans="2:6" ht="14.45" x14ac:dyDescent="0.35">
      <c r="B283" s="31" t="s">
        <v>1273</v>
      </c>
      <c r="C283" s="31" t="s">
        <v>1274</v>
      </c>
      <c r="D283" s="31" t="s">
        <v>1275</v>
      </c>
      <c r="E283" s="35">
        <f>LEN(Tabla1[[#This Row],[Partida]])</f>
        <v>7</v>
      </c>
      <c r="F283" s="35" t="str">
        <f>Tabla1[[#This Row],[Partida]]&amp;" : "&amp;Tabla1[[#This Row],[Descripción larga]]</f>
        <v>H-06-01 : SUBCONTRATOS - CUBIERTAS - TMG</v>
      </c>
    </row>
    <row r="284" spans="2:6" ht="14.45" x14ac:dyDescent="0.35">
      <c r="B284" s="31" t="s">
        <v>1276</v>
      </c>
      <c r="C284" s="31" t="s">
        <v>1277</v>
      </c>
      <c r="D284" s="31" t="s">
        <v>1278</v>
      </c>
      <c r="E284" s="35">
        <f>LEN(Tabla1[[#This Row],[Partida]])</f>
        <v>4</v>
      </c>
      <c r="F284" s="35" t="str">
        <f>Tabla1[[#This Row],[Partida]]&amp;" : "&amp;Tabla1[[#This Row],[Descripción larga]]</f>
        <v>H-07 : LAMINA EN FACHADA - TMG</v>
      </c>
    </row>
    <row r="285" spans="2:6" ht="14.45" x14ac:dyDescent="0.35">
      <c r="B285" s="31" t="s">
        <v>1279</v>
      </c>
      <c r="C285" s="31" t="s">
        <v>1280</v>
      </c>
      <c r="D285" s="31" t="s">
        <v>1281</v>
      </c>
      <c r="E285" s="35">
        <f>LEN(Tabla1[[#This Row],[Partida]])</f>
        <v>7</v>
      </c>
      <c r="F285" s="35" t="str">
        <f>Tabla1[[#This Row],[Partida]]&amp;" : "&amp;Tabla1[[#This Row],[Descripción larga]]</f>
        <v>H-07-01 : SUBCONTRATOS - LAMINA FACHADA - TMG</v>
      </c>
    </row>
    <row r="286" spans="2:6" ht="14.45" x14ac:dyDescent="0.35">
      <c r="B286" s="31" t="s">
        <v>1282</v>
      </c>
      <c r="C286" s="31" t="s">
        <v>1283</v>
      </c>
      <c r="D286" s="31" t="s">
        <v>1284</v>
      </c>
      <c r="E286" s="35">
        <f>LEN(Tabla1[[#This Row],[Partida]])</f>
        <v>4</v>
      </c>
      <c r="F286" s="35" t="str">
        <f>Tabla1[[#This Row],[Partida]]&amp;" : "&amp;Tabla1[[#This Row],[Descripción larga]]</f>
        <v>H-08 : MUEBLES DE BAÑO - TMG</v>
      </c>
    </row>
    <row r="287" spans="2:6" ht="14.45" x14ac:dyDescent="0.35">
      <c r="B287" s="31" t="s">
        <v>1285</v>
      </c>
      <c r="C287" s="31" t="s">
        <v>1286</v>
      </c>
      <c r="D287" s="31" t="s">
        <v>1287</v>
      </c>
      <c r="E287" s="35">
        <f>LEN(Tabla1[[#This Row],[Partida]])</f>
        <v>7</v>
      </c>
      <c r="F287" s="35" t="str">
        <f>Tabla1[[#This Row],[Partida]]&amp;" : "&amp;Tabla1[[#This Row],[Descripción larga]]</f>
        <v>H-08-01 : SUBCONTRATOS - MUEBLES BAÑO - TMG</v>
      </c>
    </row>
    <row r="288" spans="2:6" ht="14.45" x14ac:dyDescent="0.35">
      <c r="B288" s="31" t="s">
        <v>1288</v>
      </c>
      <c r="C288" s="31" t="s">
        <v>1289</v>
      </c>
      <c r="D288" s="31" t="s">
        <v>1290</v>
      </c>
      <c r="E288" s="35">
        <f>LEN(Tabla1[[#This Row],[Partida]])</f>
        <v>4</v>
      </c>
      <c r="F288" s="35" t="str">
        <f>Tabla1[[#This Row],[Partida]]&amp;" : "&amp;Tabla1[[#This Row],[Descripción larga]]</f>
        <v>H-09 : INSTALACIONES - TMG</v>
      </c>
    </row>
    <row r="289" spans="2:6" ht="14.45" x14ac:dyDescent="0.35">
      <c r="B289" s="31" t="s">
        <v>1291</v>
      </c>
      <c r="C289" s="31" t="s">
        <v>1292</v>
      </c>
      <c r="D289" s="31" t="s">
        <v>1293</v>
      </c>
      <c r="E289" s="35">
        <f>LEN(Tabla1[[#This Row],[Partida]])</f>
        <v>7</v>
      </c>
      <c r="F289" s="35" t="str">
        <f>Tabla1[[#This Row],[Partida]]&amp;" : "&amp;Tabla1[[#This Row],[Descripción larga]]</f>
        <v>H-09-01 : SERVICIOS PROFESIONALES - INSTALACIONES - TMG</v>
      </c>
    </row>
    <row r="290" spans="2:6" ht="14.45" x14ac:dyDescent="0.35">
      <c r="B290" s="31" t="s">
        <v>1294</v>
      </c>
      <c r="C290" s="31" t="s">
        <v>1295</v>
      </c>
      <c r="D290" s="31" t="s">
        <v>1296</v>
      </c>
      <c r="E290" s="35">
        <f>LEN(Tabla1[[#This Row],[Partida]])</f>
        <v>7</v>
      </c>
      <c r="F290" s="35" t="str">
        <f>Tabla1[[#This Row],[Partida]]&amp;" : "&amp;Tabla1[[#This Row],[Descripción larga]]</f>
        <v>H-09-02 : SUBCONTRATOS - INSTALACIONES - TMG</v>
      </c>
    </row>
    <row r="291" spans="2:6" ht="14.45" x14ac:dyDescent="0.35">
      <c r="B291" s="31" t="s">
        <v>1297</v>
      </c>
      <c r="C291" s="31" t="s">
        <v>1297</v>
      </c>
      <c r="D291" s="31" t="s">
        <v>1007</v>
      </c>
      <c r="E291" s="35">
        <f>LEN(Tabla1[[#This Row],[Partida]])</f>
        <v>1</v>
      </c>
      <c r="F291" s="35" t="str">
        <f>Tabla1[[#This Row],[Partida]]&amp;" : "&amp;Tabla1[[#This Row],[Descripción larga]]</f>
        <v>I : CASETA ACCESO - CENTRO DISTRIBUCION</v>
      </c>
    </row>
    <row r="292" spans="2:6" ht="14.45" x14ac:dyDescent="0.35">
      <c r="B292" s="31" t="s">
        <v>1298</v>
      </c>
      <c r="C292" s="31" t="s">
        <v>1299</v>
      </c>
      <c r="D292" s="31" t="s">
        <v>1300</v>
      </c>
      <c r="E292" s="35">
        <f>LEN(Tabla1[[#This Row],[Partida]])</f>
        <v>4</v>
      </c>
      <c r="F292" s="35" t="str">
        <f>Tabla1[[#This Row],[Partida]]&amp;" : "&amp;Tabla1[[#This Row],[Descripción larga]]</f>
        <v>I-01 : CIMENTACION - CASETA ACCESO TRAILERS</v>
      </c>
    </row>
    <row r="293" spans="2:6" ht="14.45" x14ac:dyDescent="0.35">
      <c r="B293" s="31" t="s">
        <v>1301</v>
      </c>
      <c r="C293" s="31" t="s">
        <v>1302</v>
      </c>
      <c r="D293" s="31" t="s">
        <v>1303</v>
      </c>
      <c r="E293" s="35">
        <f>LEN(Tabla1[[#This Row],[Partida]])</f>
        <v>7</v>
      </c>
      <c r="F293" s="35" t="str">
        <f>Tabla1[[#This Row],[Partida]]&amp;" : "&amp;Tabla1[[#This Row],[Descripción larga]]</f>
        <v>I-01-01 : MATERIALES, HERR Y EQ - CIMENTACION - CASETA ACCESO TRAILERS</v>
      </c>
    </row>
    <row r="294" spans="2:6" ht="14.45" x14ac:dyDescent="0.35">
      <c r="B294" s="31" t="s">
        <v>1304</v>
      </c>
      <c r="C294" s="31" t="s">
        <v>1305</v>
      </c>
      <c r="D294" s="31" t="s">
        <v>1306</v>
      </c>
      <c r="E294" s="35">
        <f>LEN(Tabla1[[#This Row],[Partida]])</f>
        <v>7</v>
      </c>
      <c r="F294" s="35" t="str">
        <f>Tabla1[[#This Row],[Partida]]&amp;" : "&amp;Tabla1[[#This Row],[Descripción larga]]</f>
        <v>I-01-02 : MO - CIMENTACION - CASETA ACCESO TRAILERS</v>
      </c>
    </row>
    <row r="295" spans="2:6" ht="14.45" x14ac:dyDescent="0.35">
      <c r="B295" s="31" t="s">
        <v>1307</v>
      </c>
      <c r="C295" s="31" t="s">
        <v>1308</v>
      </c>
      <c r="D295" s="31" t="s">
        <v>1309</v>
      </c>
      <c r="E295" s="35">
        <f>LEN(Tabla1[[#This Row],[Partida]])</f>
        <v>7</v>
      </c>
      <c r="F295" s="35" t="str">
        <f>Tabla1[[#This Row],[Partida]]&amp;" : "&amp;Tabla1[[#This Row],[Descripción larga]]</f>
        <v>I-01-03 : SUBCONTRATOS - CIMENTACION - CASETA ACCESO TRAILERS</v>
      </c>
    </row>
    <row r="296" spans="2:6" ht="14.45" x14ac:dyDescent="0.35">
      <c r="B296" s="31" t="s">
        <v>1310</v>
      </c>
      <c r="C296" s="31" t="s">
        <v>1311</v>
      </c>
      <c r="D296" s="31" t="s">
        <v>1312</v>
      </c>
      <c r="E296" s="35">
        <f>LEN(Tabla1[[#This Row],[Partida]])</f>
        <v>4</v>
      </c>
      <c r="F296" s="35" t="str">
        <f>Tabla1[[#This Row],[Partida]]&amp;" : "&amp;Tabla1[[#This Row],[Descripción larga]]</f>
        <v>I-02 : PISOS - CASETA ACCESO TRAILERS</v>
      </c>
    </row>
    <row r="297" spans="2:6" ht="14.45" x14ac:dyDescent="0.35">
      <c r="B297" s="31" t="s">
        <v>1313</v>
      </c>
      <c r="C297" s="31" t="s">
        <v>1314</v>
      </c>
      <c r="D297" s="31" t="s">
        <v>1315</v>
      </c>
      <c r="E297" s="35">
        <f>LEN(Tabla1[[#This Row],[Partida]])</f>
        <v>7</v>
      </c>
      <c r="F297" s="35" t="str">
        <f>Tabla1[[#This Row],[Partida]]&amp;" : "&amp;Tabla1[[#This Row],[Descripción larga]]</f>
        <v>I-02-01 : MATERIALES, HERR Y EQ - PISOS - CASETA ACCESO TRAILERS</v>
      </c>
    </row>
    <row r="298" spans="2:6" ht="14.45" x14ac:dyDescent="0.35">
      <c r="B298" s="31" t="s">
        <v>1316</v>
      </c>
      <c r="C298" s="31" t="s">
        <v>1317</v>
      </c>
      <c r="D298" s="31" t="s">
        <v>1318</v>
      </c>
      <c r="E298" s="35">
        <f>LEN(Tabla1[[#This Row],[Partida]])</f>
        <v>7</v>
      </c>
      <c r="F298" s="35" t="str">
        <f>Tabla1[[#This Row],[Partida]]&amp;" : "&amp;Tabla1[[#This Row],[Descripción larga]]</f>
        <v>I-02-02 : MO - PISOS - CASETA ACCESO TRAILERS</v>
      </c>
    </row>
    <row r="299" spans="2:6" ht="29.1" x14ac:dyDescent="0.35">
      <c r="B299" s="31" t="s">
        <v>1319</v>
      </c>
      <c r="C299" s="31" t="s">
        <v>1320</v>
      </c>
      <c r="D299" s="32" t="s">
        <v>1321</v>
      </c>
      <c r="E299" s="35">
        <f>LEN(Tabla1[[#This Row],[Partida]])</f>
        <v>7</v>
      </c>
      <c r="F299" s="35" t="str">
        <f>Tabla1[[#This Row],[Partida]]&amp;" : "&amp;Tabla1[[#This Row],[Descripción larga]]</f>
        <v>I-02-03 : SERVICIOS PROFESIONALES
 - PISOS - CASETA ACCESO TRAILERS</v>
      </c>
    </row>
    <row r="300" spans="2:6" ht="14.45" x14ac:dyDescent="0.35">
      <c r="B300" s="31" t="s">
        <v>1322</v>
      </c>
      <c r="C300" s="31" t="s">
        <v>1323</v>
      </c>
      <c r="D300" s="31" t="s">
        <v>1324</v>
      </c>
      <c r="E300" s="35">
        <f>LEN(Tabla1[[#This Row],[Partida]])</f>
        <v>4</v>
      </c>
      <c r="F300" s="35" t="str">
        <f>Tabla1[[#This Row],[Partida]]&amp;" : "&amp;Tabla1[[#This Row],[Descripción larga]]</f>
        <v>I-03 : PLAFONES - CASETA ACCESO TRAILERS</v>
      </c>
    </row>
    <row r="301" spans="2:6" ht="14.45" x14ac:dyDescent="0.35">
      <c r="B301" s="31" t="s">
        <v>1325</v>
      </c>
      <c r="C301" s="31" t="s">
        <v>1326</v>
      </c>
      <c r="D301" s="31" t="s">
        <v>1327</v>
      </c>
      <c r="E301" s="35">
        <f>LEN(Tabla1[[#This Row],[Partida]])</f>
        <v>7</v>
      </c>
      <c r="F301" s="35" t="str">
        <f>Tabla1[[#This Row],[Partida]]&amp;" : "&amp;Tabla1[[#This Row],[Descripción larga]]</f>
        <v>I-03-01 : SUBCONTRATOS - PLAFONES - CASETA ACCESO TRAILERS</v>
      </c>
    </row>
    <row r="302" spans="2:6" ht="14.45" x14ac:dyDescent="0.35">
      <c r="B302" s="31" t="s">
        <v>1328</v>
      </c>
      <c r="C302" s="31" t="s">
        <v>1329</v>
      </c>
      <c r="D302" s="31" t="s">
        <v>1330</v>
      </c>
      <c r="E302" s="35">
        <f>LEN(Tabla1[[#This Row],[Partida]])</f>
        <v>4</v>
      </c>
      <c r="F302" s="35" t="str">
        <f>Tabla1[[#This Row],[Partida]]&amp;" : "&amp;Tabla1[[#This Row],[Descripción larga]]</f>
        <v>I-04 : ALBAÑILERIAS - CASETA ACCESO TRAILERS</v>
      </c>
    </row>
    <row r="303" spans="2:6" ht="14.45" x14ac:dyDescent="0.35">
      <c r="B303" s="31" t="s">
        <v>1331</v>
      </c>
      <c r="C303" s="31" t="s">
        <v>1332</v>
      </c>
      <c r="D303" s="31" t="s">
        <v>1333</v>
      </c>
      <c r="E303" s="35">
        <f>LEN(Tabla1[[#This Row],[Partida]])</f>
        <v>7</v>
      </c>
      <c r="F303" s="35" t="str">
        <f>Tabla1[[#This Row],[Partida]]&amp;" : "&amp;Tabla1[[#This Row],[Descripción larga]]</f>
        <v>I-04-01 : MATERIALES, HERR Y EQ - ALBAÑILERIAS - CASETA ACCESO TRAILERS</v>
      </c>
    </row>
    <row r="304" spans="2:6" ht="14.45" x14ac:dyDescent="0.35">
      <c r="B304" s="31" t="s">
        <v>1334</v>
      </c>
      <c r="C304" s="31" t="s">
        <v>1335</v>
      </c>
      <c r="D304" s="31" t="s">
        <v>1336</v>
      </c>
      <c r="E304" s="35">
        <f>LEN(Tabla1[[#This Row],[Partida]])</f>
        <v>7</v>
      </c>
      <c r="F304" s="35" t="str">
        <f>Tabla1[[#This Row],[Partida]]&amp;" : "&amp;Tabla1[[#This Row],[Descripción larga]]</f>
        <v>I-04-02 : MO - ALBAÑILERIAS - CASETA ACCESO TRAILERS</v>
      </c>
    </row>
    <row r="305" spans="2:6" ht="14.45" x14ac:dyDescent="0.35">
      <c r="B305" s="31" t="s">
        <v>1337</v>
      </c>
      <c r="C305" s="31" t="s">
        <v>1338</v>
      </c>
      <c r="D305" s="31" t="s">
        <v>1339</v>
      </c>
      <c r="E305" s="35">
        <f>LEN(Tabla1[[#This Row],[Partida]])</f>
        <v>7</v>
      </c>
      <c r="F305" s="35" t="str">
        <f>Tabla1[[#This Row],[Partida]]&amp;" : "&amp;Tabla1[[#This Row],[Descripción larga]]</f>
        <v>I-04-03 : SERVICIOS PROFESIONALES - ALBAÑILERIAS - CASETA ACCESO TRAILERS</v>
      </c>
    </row>
    <row r="306" spans="2:6" ht="14.45" x14ac:dyDescent="0.35">
      <c r="B306" s="31" t="s">
        <v>1340</v>
      </c>
      <c r="C306" s="31" t="s">
        <v>1341</v>
      </c>
      <c r="D306" s="31" t="s">
        <v>1342</v>
      </c>
      <c r="E306" s="35">
        <f>LEN(Tabla1[[#This Row],[Partida]])</f>
        <v>7</v>
      </c>
      <c r="F306" s="35" t="str">
        <f>Tabla1[[#This Row],[Partida]]&amp;" : "&amp;Tabla1[[#This Row],[Descripción larga]]</f>
        <v>I-04-04 : SUBCONTRATOS - ALBAÑILERIAS - CASETA ACCESO TRAILERS</v>
      </c>
    </row>
    <row r="307" spans="2:6" ht="14.45" x14ac:dyDescent="0.35">
      <c r="B307" s="31" t="s">
        <v>1343</v>
      </c>
      <c r="C307" s="31" t="s">
        <v>1344</v>
      </c>
      <c r="D307" s="31" t="s">
        <v>1345</v>
      </c>
      <c r="E307" s="35">
        <f>LEN(Tabla1[[#This Row],[Partida]])</f>
        <v>4</v>
      </c>
      <c r="F307" s="35" t="str">
        <f>Tabla1[[#This Row],[Partida]]&amp;" : "&amp;Tabla1[[#This Row],[Descripción larga]]</f>
        <v>I-05 : ACABADOS - CASETA ACCESO TRAILERS</v>
      </c>
    </row>
    <row r="308" spans="2:6" ht="14.45" x14ac:dyDescent="0.35">
      <c r="B308" s="31" t="s">
        <v>1346</v>
      </c>
      <c r="C308" s="31" t="s">
        <v>1347</v>
      </c>
      <c r="D308" s="31" t="s">
        <v>1348</v>
      </c>
      <c r="E308" s="35">
        <f>LEN(Tabla1[[#This Row],[Partida]])</f>
        <v>7</v>
      </c>
      <c r="F308" s="35" t="str">
        <f>Tabla1[[#This Row],[Partida]]&amp;" : "&amp;Tabla1[[#This Row],[Descripción larga]]</f>
        <v>I-05-01 : MATERIALES, HERR Y EQ - ACABADOS - CASETA ACCESO TRAILERS</v>
      </c>
    </row>
    <row r="309" spans="2:6" ht="14.45" x14ac:dyDescent="0.35">
      <c r="B309" s="31" t="s">
        <v>1349</v>
      </c>
      <c r="C309" s="31" t="s">
        <v>1350</v>
      </c>
      <c r="D309" s="31" t="s">
        <v>1351</v>
      </c>
      <c r="E309" s="35">
        <f>LEN(Tabla1[[#This Row],[Partida]])</f>
        <v>7</v>
      </c>
      <c r="F309" s="35" t="str">
        <f>Tabla1[[#This Row],[Partida]]&amp;" : "&amp;Tabla1[[#This Row],[Descripción larga]]</f>
        <v>I-05-02 : MO - ACABADOS - CASETA ACCESO TRAILERS</v>
      </c>
    </row>
    <row r="310" spans="2:6" ht="14.45" x14ac:dyDescent="0.35">
      <c r="B310" s="31" t="s">
        <v>1352</v>
      </c>
      <c r="C310" s="31" t="s">
        <v>1353</v>
      </c>
      <c r="D310" s="31" t="s">
        <v>1354</v>
      </c>
      <c r="E310" s="35">
        <f>LEN(Tabla1[[#This Row],[Partida]])</f>
        <v>7</v>
      </c>
      <c r="F310" s="35" t="str">
        <f>Tabla1[[#This Row],[Partida]]&amp;" : "&amp;Tabla1[[#This Row],[Descripción larga]]</f>
        <v>I-05-03 : SERVICIOS PROFESIONALES - ACABADOS - CASETA ACCESO TRAILERS</v>
      </c>
    </row>
    <row r="311" spans="2:6" ht="14.45" x14ac:dyDescent="0.35">
      <c r="B311" s="31" t="s">
        <v>1355</v>
      </c>
      <c r="C311" s="31" t="s">
        <v>1356</v>
      </c>
      <c r="D311" s="31" t="s">
        <v>1357</v>
      </c>
      <c r="E311" s="35">
        <f>LEN(Tabla1[[#This Row],[Partida]])</f>
        <v>7</v>
      </c>
      <c r="F311" s="35" t="str">
        <f>Tabla1[[#This Row],[Partida]]&amp;" : "&amp;Tabla1[[#This Row],[Descripción larga]]</f>
        <v>I-05-04 : SUBCONTRATOS - ACABADOS - CASETA ACCESO TRAILERS</v>
      </c>
    </row>
    <row r="312" spans="2:6" ht="14.45" x14ac:dyDescent="0.35">
      <c r="B312" s="31" t="s">
        <v>1358</v>
      </c>
      <c r="C312" s="31" t="s">
        <v>1359</v>
      </c>
      <c r="D312" s="31" t="s">
        <v>1360</v>
      </c>
      <c r="E312" s="35">
        <f>LEN(Tabla1[[#This Row],[Partida]])</f>
        <v>4</v>
      </c>
      <c r="F312" s="35" t="str">
        <f>Tabla1[[#This Row],[Partida]]&amp;" : "&amp;Tabla1[[#This Row],[Descripción larga]]</f>
        <v>I-06 : ESTRUCTURA DE MAMPOSTERIA - CASETA ACCESO TRAILERS</v>
      </c>
    </row>
    <row r="313" spans="2:6" ht="14.45" x14ac:dyDescent="0.35">
      <c r="B313" s="31" t="s">
        <v>1361</v>
      </c>
      <c r="C313" s="31" t="s">
        <v>1362</v>
      </c>
      <c r="D313" s="31" t="s">
        <v>1363</v>
      </c>
      <c r="E313" s="35">
        <f>LEN(Tabla1[[#This Row],[Partida]])</f>
        <v>7</v>
      </c>
      <c r="F313" s="35" t="str">
        <f>Tabla1[[#This Row],[Partida]]&amp;" : "&amp;Tabla1[[#This Row],[Descripción larga]]</f>
        <v>I-06-01 : MATERIALES, HERR Y EQ - ESTRUCTURA MAMPOSTERIA - CASETA ACCESO TRAILERS</v>
      </c>
    </row>
    <row r="314" spans="2:6" ht="14.45" x14ac:dyDescent="0.35">
      <c r="B314" s="31" t="s">
        <v>1364</v>
      </c>
      <c r="C314" s="31" t="s">
        <v>1365</v>
      </c>
      <c r="D314" s="31" t="s">
        <v>1366</v>
      </c>
      <c r="E314" s="35">
        <f>LEN(Tabla1[[#This Row],[Partida]])</f>
        <v>7</v>
      </c>
      <c r="F314" s="35" t="str">
        <f>Tabla1[[#This Row],[Partida]]&amp;" : "&amp;Tabla1[[#This Row],[Descripción larga]]</f>
        <v>I-06-02 : MO - ESTRUCTURA MAMPOSTERIA - CASETA ACCESO TRAILERS</v>
      </c>
    </row>
    <row r="315" spans="2:6" ht="14.45" x14ac:dyDescent="0.35">
      <c r="B315" s="31" t="s">
        <v>1367</v>
      </c>
      <c r="C315" s="31" t="s">
        <v>1368</v>
      </c>
      <c r="D315" s="31" t="s">
        <v>1369</v>
      </c>
      <c r="E315" s="35">
        <f>LEN(Tabla1[[#This Row],[Partida]])</f>
        <v>4</v>
      </c>
      <c r="F315" s="35" t="str">
        <f>Tabla1[[#This Row],[Partida]]&amp;" : "&amp;Tabla1[[#This Row],[Descripción larga]]</f>
        <v>I-07 : ESTRUCTURA METALICA - CASETA ACCESO TRAILERS</v>
      </c>
    </row>
    <row r="316" spans="2:6" ht="14.45" x14ac:dyDescent="0.35">
      <c r="B316" s="31" t="s">
        <v>1370</v>
      </c>
      <c r="C316" s="31" t="s">
        <v>1371</v>
      </c>
      <c r="D316" s="31" t="s">
        <v>1372</v>
      </c>
      <c r="E316" s="35">
        <f>LEN(Tabla1[[#This Row],[Partida]])</f>
        <v>7</v>
      </c>
      <c r="F316" s="35" t="str">
        <f>Tabla1[[#This Row],[Partida]]&amp;" : "&amp;Tabla1[[#This Row],[Descripción larga]]</f>
        <v>I-07-01 : SUBCONTRATOS - ESTRUCTURA METALICA - CASETA ACCESO TRAILERS</v>
      </c>
    </row>
    <row r="317" spans="2:6" ht="14.45" x14ac:dyDescent="0.35">
      <c r="B317" s="31" t="s">
        <v>1373</v>
      </c>
      <c r="C317" s="31" t="s">
        <v>1374</v>
      </c>
      <c r="D317" s="31" t="s">
        <v>1375</v>
      </c>
      <c r="E317" s="35">
        <f>LEN(Tabla1[[#This Row],[Partida]])</f>
        <v>4</v>
      </c>
      <c r="F317" s="35" t="str">
        <f>Tabla1[[#This Row],[Partida]]&amp;" : "&amp;Tabla1[[#This Row],[Descripción larga]]</f>
        <v>I-08 : TECHUMBRE O CUBIERTAS - CASETA ACCESO TRAILERS</v>
      </c>
    </row>
    <row r="318" spans="2:6" ht="14.45" x14ac:dyDescent="0.35">
      <c r="B318" s="31" t="s">
        <v>1376</v>
      </c>
      <c r="C318" s="31" t="s">
        <v>1377</v>
      </c>
      <c r="D318" s="31" t="s">
        <v>1378</v>
      </c>
      <c r="E318" s="35">
        <f>LEN(Tabla1[[#This Row],[Partida]])</f>
        <v>7</v>
      </c>
      <c r="F318" s="35" t="str">
        <f>Tabla1[[#This Row],[Partida]]&amp;" : "&amp;Tabla1[[#This Row],[Descripción larga]]</f>
        <v>I-08-01 : SUBCONTRATOS - CUBIERTAS - CASETA ACCESO TRAILERS</v>
      </c>
    </row>
    <row r="319" spans="2:6" ht="14.45" x14ac:dyDescent="0.35">
      <c r="B319" s="31" t="s">
        <v>1379</v>
      </c>
      <c r="C319" s="31" t="s">
        <v>1380</v>
      </c>
      <c r="D319" s="31" t="s">
        <v>1381</v>
      </c>
      <c r="E319" s="35">
        <f>LEN(Tabla1[[#This Row],[Partida]])</f>
        <v>4</v>
      </c>
      <c r="F319" s="35" t="str">
        <f>Tabla1[[#This Row],[Partida]]&amp;" : "&amp;Tabla1[[#This Row],[Descripción larga]]</f>
        <v>I-09 : MUEBLES DE BAÑO - CASETA ACCESO TRAILERS</v>
      </c>
    </row>
    <row r="320" spans="2:6" ht="14.45" x14ac:dyDescent="0.35">
      <c r="B320" s="31" t="s">
        <v>1382</v>
      </c>
      <c r="C320" s="31" t="s">
        <v>1383</v>
      </c>
      <c r="D320" s="31" t="s">
        <v>1384</v>
      </c>
      <c r="E320" s="35">
        <f>LEN(Tabla1[[#This Row],[Partida]])</f>
        <v>7</v>
      </c>
      <c r="F320" s="35" t="str">
        <f>Tabla1[[#This Row],[Partida]]&amp;" : "&amp;Tabla1[[#This Row],[Descripción larga]]</f>
        <v>I-09-01 : SUBCONTRATOS - MUEBLES DE BAÑO - CASETA ACCESO TRAILERS</v>
      </c>
    </row>
    <row r="321" spans="2:6" ht="14.45" x14ac:dyDescent="0.35">
      <c r="B321" s="31" t="s">
        <v>1385</v>
      </c>
      <c r="C321" s="31" t="s">
        <v>1386</v>
      </c>
      <c r="D321" s="31" t="s">
        <v>1387</v>
      </c>
      <c r="E321" s="35">
        <f>LEN(Tabla1[[#This Row],[Partida]])</f>
        <v>4</v>
      </c>
      <c r="F321" s="35" t="str">
        <f>Tabla1[[#This Row],[Partida]]&amp;" : "&amp;Tabla1[[#This Row],[Descripción larga]]</f>
        <v>I-10 : INSTALACIONES - CASETA ACCESO TRAILERS</v>
      </c>
    </row>
    <row r="322" spans="2:6" ht="14.45" x14ac:dyDescent="0.35">
      <c r="B322" s="31" t="s">
        <v>1388</v>
      </c>
      <c r="C322" s="31" t="s">
        <v>1389</v>
      </c>
      <c r="D322" s="31" t="s">
        <v>1390</v>
      </c>
      <c r="E322" s="35">
        <f>LEN(Tabla1[[#This Row],[Partida]])</f>
        <v>7</v>
      </c>
      <c r="F322" s="35" t="str">
        <f>Tabla1[[#This Row],[Partida]]&amp;" : "&amp;Tabla1[[#This Row],[Descripción larga]]</f>
        <v>I-10-01 : SERVICIOS PROFESIONALES - INSTALACIONES - CASETA ACCESO TRAILERS</v>
      </c>
    </row>
    <row r="323" spans="2:6" ht="14.45" x14ac:dyDescent="0.35">
      <c r="B323" s="31" t="s">
        <v>1391</v>
      </c>
      <c r="C323" s="31" t="s">
        <v>1392</v>
      </c>
      <c r="D323" s="31" t="s">
        <v>1393</v>
      </c>
      <c r="E323" s="35">
        <f>LEN(Tabla1[[#This Row],[Partida]])</f>
        <v>7</v>
      </c>
      <c r="F323" s="35" t="str">
        <f>Tabla1[[#This Row],[Partida]]&amp;" : "&amp;Tabla1[[#This Row],[Descripción larga]]</f>
        <v>I-10-02 : SUBCONTRATOS - INSTALACIONES - CASETA ACCESO TRAILERS</v>
      </c>
    </row>
    <row r="324" spans="2:6" ht="14.45" x14ac:dyDescent="0.35">
      <c r="B324" s="31" t="s">
        <v>1394</v>
      </c>
      <c r="C324" s="31" t="s">
        <v>1394</v>
      </c>
      <c r="D324" s="31" t="s">
        <v>1395</v>
      </c>
      <c r="E324" s="35">
        <f>LEN(Tabla1[[#This Row],[Partida]])</f>
        <v>1</v>
      </c>
      <c r="F324" s="35" t="str">
        <f>Tabla1[[#This Row],[Partida]]&amp;" : "&amp;Tabla1[[#This Row],[Descripción larga]]</f>
        <v>J : BASCULA - CENTRO DISTRIBUCION</v>
      </c>
    </row>
    <row r="325" spans="2:6" ht="14.45" x14ac:dyDescent="0.35">
      <c r="B325" s="31" t="s">
        <v>1396</v>
      </c>
      <c r="C325" s="31" t="s">
        <v>1397</v>
      </c>
      <c r="D325" s="31" t="s">
        <v>1398</v>
      </c>
      <c r="E325" s="35">
        <f>LEN(Tabla1[[#This Row],[Partida]])</f>
        <v>4</v>
      </c>
      <c r="F325" s="35" t="str">
        <f>Tabla1[[#This Row],[Partida]]&amp;" : "&amp;Tabla1[[#This Row],[Descripción larga]]</f>
        <v>J-01 : CIMENTACION - BASCULA</v>
      </c>
    </row>
    <row r="326" spans="2:6" ht="14.45" x14ac:dyDescent="0.35">
      <c r="B326" s="31" t="s">
        <v>1399</v>
      </c>
      <c r="C326" s="31" t="s">
        <v>1400</v>
      </c>
      <c r="D326" s="31" t="s">
        <v>1401</v>
      </c>
      <c r="E326" s="35">
        <f>LEN(Tabla1[[#This Row],[Partida]])</f>
        <v>7</v>
      </c>
      <c r="F326" s="35" t="str">
        <f>Tabla1[[#This Row],[Partida]]&amp;" : "&amp;Tabla1[[#This Row],[Descripción larga]]</f>
        <v>J-01-01 : MATERIALES, HERR Y EQ - CIMENTACION - BASCULA</v>
      </c>
    </row>
    <row r="327" spans="2:6" ht="14.45" x14ac:dyDescent="0.35">
      <c r="B327" s="31" t="s">
        <v>1402</v>
      </c>
      <c r="C327" s="31" t="s">
        <v>1403</v>
      </c>
      <c r="D327" s="31" t="s">
        <v>1404</v>
      </c>
      <c r="E327" s="35">
        <f>LEN(Tabla1[[#This Row],[Partida]])</f>
        <v>7</v>
      </c>
      <c r="F327" s="35" t="str">
        <f>Tabla1[[#This Row],[Partida]]&amp;" : "&amp;Tabla1[[#This Row],[Descripción larga]]</f>
        <v>J-01-02 : MO - CIMENTACION - BASCULA</v>
      </c>
    </row>
    <row r="328" spans="2:6" ht="14.45" x14ac:dyDescent="0.35">
      <c r="B328" s="31" t="s">
        <v>1405</v>
      </c>
      <c r="C328" s="31" t="s">
        <v>1406</v>
      </c>
      <c r="D328" s="31" t="s">
        <v>1407</v>
      </c>
      <c r="E328" s="35">
        <f>LEN(Tabla1[[#This Row],[Partida]])</f>
        <v>4</v>
      </c>
      <c r="F328" s="35" t="str">
        <f>Tabla1[[#This Row],[Partida]]&amp;" : "&amp;Tabla1[[#This Row],[Descripción larga]]</f>
        <v>J-02 : PISOS - BASCULA</v>
      </c>
    </row>
    <row r="329" spans="2:6" ht="14.45" x14ac:dyDescent="0.35">
      <c r="B329" s="31" t="s">
        <v>1408</v>
      </c>
      <c r="C329" s="31" t="s">
        <v>1409</v>
      </c>
      <c r="D329" s="31" t="s">
        <v>1410</v>
      </c>
      <c r="E329" s="35">
        <f>LEN(Tabla1[[#This Row],[Partida]])</f>
        <v>7</v>
      </c>
      <c r="F329" s="35" t="str">
        <f>Tabla1[[#This Row],[Partida]]&amp;" : "&amp;Tabla1[[#This Row],[Descripción larga]]</f>
        <v>J-02-01 : MATERIALES, HERR Y EQ - PISOS - BASCULA</v>
      </c>
    </row>
    <row r="330" spans="2:6" ht="14.45" x14ac:dyDescent="0.35">
      <c r="B330" s="31" t="s">
        <v>1411</v>
      </c>
      <c r="C330" s="31" t="s">
        <v>1412</v>
      </c>
      <c r="D330" s="31" t="s">
        <v>1413</v>
      </c>
      <c r="E330" s="35">
        <f>LEN(Tabla1[[#This Row],[Partida]])</f>
        <v>7</v>
      </c>
      <c r="F330" s="35" t="str">
        <f>Tabla1[[#This Row],[Partida]]&amp;" : "&amp;Tabla1[[#This Row],[Descripción larga]]</f>
        <v>J-02-02 : MO - PISOS - BASCULA</v>
      </c>
    </row>
    <row r="331" spans="2:6" ht="14.45" x14ac:dyDescent="0.35">
      <c r="B331" s="31" t="s">
        <v>1414</v>
      </c>
      <c r="C331" s="31" t="s">
        <v>1415</v>
      </c>
      <c r="D331" s="31" t="s">
        <v>1416</v>
      </c>
      <c r="E331" s="35">
        <f>LEN(Tabla1[[#This Row],[Partida]])</f>
        <v>7</v>
      </c>
      <c r="F331" s="35" t="str">
        <f>Tabla1[[#This Row],[Partida]]&amp;" : "&amp;Tabla1[[#This Row],[Descripción larga]]</f>
        <v>J-02-03 : SERVICIOS PROFESIONALES - PISOS - BASCULA</v>
      </c>
    </row>
    <row r="332" spans="2:6" ht="14.45" x14ac:dyDescent="0.35">
      <c r="B332" s="31" t="s">
        <v>1417</v>
      </c>
      <c r="C332" s="31" t="s">
        <v>1418</v>
      </c>
      <c r="D332" s="31" t="s">
        <v>1419</v>
      </c>
      <c r="E332" s="35">
        <f>LEN(Tabla1[[#This Row],[Partida]])</f>
        <v>4</v>
      </c>
      <c r="F332" s="35" t="str">
        <f>Tabla1[[#This Row],[Partida]]&amp;" : "&amp;Tabla1[[#This Row],[Descripción larga]]</f>
        <v>J-03 : ALBAÑILERIAS - BASCULA</v>
      </c>
    </row>
    <row r="333" spans="2:6" ht="14.45" x14ac:dyDescent="0.35">
      <c r="B333" s="31" t="s">
        <v>1420</v>
      </c>
      <c r="C333" s="31" t="s">
        <v>1421</v>
      </c>
      <c r="D333" s="31" t="s">
        <v>1422</v>
      </c>
      <c r="E333" s="35">
        <f>LEN(Tabla1[[#This Row],[Partida]])</f>
        <v>7</v>
      </c>
      <c r="F333" s="35" t="str">
        <f>Tabla1[[#This Row],[Partida]]&amp;" : "&amp;Tabla1[[#This Row],[Descripción larga]]</f>
        <v>J-03-01 : MATERIALES, HERR Y EQ - ALBAÑILERIAS - BASCULA</v>
      </c>
    </row>
    <row r="334" spans="2:6" ht="14.45" x14ac:dyDescent="0.35">
      <c r="B334" s="31" t="s">
        <v>1423</v>
      </c>
      <c r="C334" s="31" t="s">
        <v>1424</v>
      </c>
      <c r="D334" s="31" t="s">
        <v>1425</v>
      </c>
      <c r="E334" s="35">
        <f>LEN(Tabla1[[#This Row],[Partida]])</f>
        <v>7</v>
      </c>
      <c r="F334" s="35" t="str">
        <f>Tabla1[[#This Row],[Partida]]&amp;" : "&amp;Tabla1[[#This Row],[Descripción larga]]</f>
        <v>J-03-02 : MO - ALBAÑILERIAS - BASCULA</v>
      </c>
    </row>
    <row r="335" spans="2:6" ht="14.45" x14ac:dyDescent="0.35">
      <c r="B335" s="31" t="s">
        <v>1426</v>
      </c>
      <c r="C335" s="31" t="s">
        <v>1427</v>
      </c>
      <c r="D335" s="31" t="s">
        <v>1428</v>
      </c>
      <c r="E335" s="35">
        <f>LEN(Tabla1[[#This Row],[Partida]])</f>
        <v>7</v>
      </c>
      <c r="F335" s="35" t="str">
        <f>Tabla1[[#This Row],[Partida]]&amp;" : "&amp;Tabla1[[#This Row],[Descripción larga]]</f>
        <v>J-03-03 : SERVICIOS PROFESIONALES - ALBAÑILERIAS - BASCULA</v>
      </c>
    </row>
    <row r="336" spans="2:6" ht="14.45" x14ac:dyDescent="0.35">
      <c r="B336" s="31" t="s">
        <v>1429</v>
      </c>
      <c r="C336" s="31" t="s">
        <v>1430</v>
      </c>
      <c r="D336" s="31" t="s">
        <v>1431</v>
      </c>
      <c r="E336" s="35">
        <f>LEN(Tabla1[[#This Row],[Partida]])</f>
        <v>7</v>
      </c>
      <c r="F336" s="35" t="str">
        <f>Tabla1[[#This Row],[Partida]]&amp;" : "&amp;Tabla1[[#This Row],[Descripción larga]]</f>
        <v>J-03-04 : SUBCONTRATOS - ALBAÑILERIAS - BASCULA</v>
      </c>
    </row>
    <row r="337" spans="2:6" ht="14.45" x14ac:dyDescent="0.35">
      <c r="B337" s="31" t="s">
        <v>1432</v>
      </c>
      <c r="C337" s="31" t="s">
        <v>1433</v>
      </c>
      <c r="D337" s="31" t="s">
        <v>1434</v>
      </c>
      <c r="E337" s="35">
        <f>LEN(Tabla1[[#This Row],[Partida]])</f>
        <v>4</v>
      </c>
      <c r="F337" s="35" t="str">
        <f>Tabla1[[#This Row],[Partida]]&amp;" : "&amp;Tabla1[[#This Row],[Descripción larga]]</f>
        <v>J-04 : ACABADOS - BASCULA</v>
      </c>
    </row>
    <row r="338" spans="2:6" ht="14.45" x14ac:dyDescent="0.35">
      <c r="B338" s="31" t="s">
        <v>1435</v>
      </c>
      <c r="C338" s="31" t="s">
        <v>1436</v>
      </c>
      <c r="D338" s="31" t="s">
        <v>1437</v>
      </c>
      <c r="E338" s="35">
        <f>LEN(Tabla1[[#This Row],[Partida]])</f>
        <v>7</v>
      </c>
      <c r="F338" s="35" t="str">
        <f>Tabla1[[#This Row],[Partida]]&amp;" : "&amp;Tabla1[[#This Row],[Descripción larga]]</f>
        <v>J-04-01 : SUBCONTRATOS - ACABADOS - BASCULA</v>
      </c>
    </row>
    <row r="339" spans="2:6" ht="14.45" x14ac:dyDescent="0.35">
      <c r="B339" s="31" t="s">
        <v>1438</v>
      </c>
      <c r="C339" s="31" t="s">
        <v>1439</v>
      </c>
      <c r="D339" s="31" t="s">
        <v>1440</v>
      </c>
      <c r="E339" s="35">
        <f>LEN(Tabla1[[#This Row],[Partida]])</f>
        <v>4</v>
      </c>
      <c r="F339" s="35" t="str">
        <f>Tabla1[[#This Row],[Partida]]&amp;" : "&amp;Tabla1[[#This Row],[Descripción larga]]</f>
        <v>J-05 : ESTRUCTURA DE MAMPOSTERIA - BASCULA</v>
      </c>
    </row>
    <row r="340" spans="2:6" ht="14.45" x14ac:dyDescent="0.35">
      <c r="B340" s="31" t="s">
        <v>1441</v>
      </c>
      <c r="C340" s="31" t="s">
        <v>1442</v>
      </c>
      <c r="D340" s="31" t="s">
        <v>1443</v>
      </c>
      <c r="E340" s="35">
        <f>LEN(Tabla1[[#This Row],[Partida]])</f>
        <v>7</v>
      </c>
      <c r="F340" s="35" t="str">
        <f>Tabla1[[#This Row],[Partida]]&amp;" : "&amp;Tabla1[[#This Row],[Descripción larga]]</f>
        <v>J-05-01 : MATERIALES, HERR Y EQ - ESTRUCTURA MAMPOSTERIA - BASCULA</v>
      </c>
    </row>
    <row r="341" spans="2:6" ht="14.45" x14ac:dyDescent="0.35">
      <c r="B341" s="31" t="s">
        <v>1444</v>
      </c>
      <c r="C341" s="31" t="s">
        <v>1445</v>
      </c>
      <c r="D341" s="31" t="s">
        <v>1446</v>
      </c>
      <c r="E341" s="35">
        <f>LEN(Tabla1[[#This Row],[Partida]])</f>
        <v>7</v>
      </c>
      <c r="F341" s="35" t="str">
        <f>Tabla1[[#This Row],[Partida]]&amp;" : "&amp;Tabla1[[#This Row],[Descripción larga]]</f>
        <v>J-05-02 : MO - ESTRUCTURA MAMPOSTERIA - BASCULA</v>
      </c>
    </row>
    <row r="342" spans="2:6" ht="14.45" x14ac:dyDescent="0.35">
      <c r="B342" s="31" t="s">
        <v>1447</v>
      </c>
      <c r="C342" s="31" t="s">
        <v>1448</v>
      </c>
      <c r="D342" s="31" t="s">
        <v>1449</v>
      </c>
      <c r="E342" s="35">
        <f>LEN(Tabla1[[#This Row],[Partida]])</f>
        <v>4</v>
      </c>
      <c r="F342" s="35" t="str">
        <f>Tabla1[[#This Row],[Partida]]&amp;" : "&amp;Tabla1[[#This Row],[Descripción larga]]</f>
        <v>J-06 : ESTRUCTURA METALICA - BASCULA</v>
      </c>
    </row>
    <row r="343" spans="2:6" ht="14.45" x14ac:dyDescent="0.35">
      <c r="B343" s="31" t="s">
        <v>1450</v>
      </c>
      <c r="C343" s="31" t="s">
        <v>1451</v>
      </c>
      <c r="D343" s="31" t="s">
        <v>1452</v>
      </c>
      <c r="E343" s="35">
        <f>LEN(Tabla1[[#This Row],[Partida]])</f>
        <v>7</v>
      </c>
      <c r="F343" s="35" t="str">
        <f>Tabla1[[#This Row],[Partida]]&amp;" : "&amp;Tabla1[[#This Row],[Descripción larga]]</f>
        <v>J-06-01 : SUBCONTRATOS - EM - BASCULA</v>
      </c>
    </row>
    <row r="344" spans="2:6" ht="14.45" x14ac:dyDescent="0.35">
      <c r="B344" s="31" t="s">
        <v>1453</v>
      </c>
      <c r="C344" s="31" t="s">
        <v>1454</v>
      </c>
      <c r="D344" s="31" t="s">
        <v>1455</v>
      </c>
      <c r="E344" s="35">
        <f>LEN(Tabla1[[#This Row],[Partida]])</f>
        <v>4</v>
      </c>
      <c r="F344" s="35" t="str">
        <f>Tabla1[[#This Row],[Partida]]&amp;" : "&amp;Tabla1[[#This Row],[Descripción larga]]</f>
        <v>J-07 : TECHUMBRE O CUBIERTAS - BASCULA</v>
      </c>
    </row>
    <row r="345" spans="2:6" ht="14.45" x14ac:dyDescent="0.35">
      <c r="B345" s="31" t="s">
        <v>1456</v>
      </c>
      <c r="C345" s="31" t="s">
        <v>1457</v>
      </c>
      <c r="D345" s="31" t="s">
        <v>1458</v>
      </c>
      <c r="E345" s="35">
        <f>LEN(Tabla1[[#This Row],[Partida]])</f>
        <v>7</v>
      </c>
      <c r="F345" s="35" t="str">
        <f>Tabla1[[#This Row],[Partida]]&amp;" : "&amp;Tabla1[[#This Row],[Descripción larga]]</f>
        <v>J-07-01 : SUBCONTRATOS - CUBIERTAS - BASCULA</v>
      </c>
    </row>
    <row r="346" spans="2:6" ht="14.45" x14ac:dyDescent="0.35">
      <c r="B346" s="31" t="s">
        <v>1459</v>
      </c>
      <c r="C346" s="31" t="s">
        <v>1460</v>
      </c>
      <c r="D346" s="31" t="s">
        <v>1461</v>
      </c>
      <c r="E346" s="35">
        <f>LEN(Tabla1[[#This Row],[Partida]])</f>
        <v>4</v>
      </c>
      <c r="F346" s="35" t="str">
        <f>Tabla1[[#This Row],[Partida]]&amp;" : "&amp;Tabla1[[#This Row],[Descripción larga]]</f>
        <v>J-08 : INSTALACIONES - BASCULA</v>
      </c>
    </row>
    <row r="347" spans="2:6" ht="14.45" x14ac:dyDescent="0.35">
      <c r="B347" s="31" t="s">
        <v>1462</v>
      </c>
      <c r="C347" s="31" t="s">
        <v>1463</v>
      </c>
      <c r="D347" s="31" t="s">
        <v>1464</v>
      </c>
      <c r="E347" s="35">
        <f>LEN(Tabla1[[#This Row],[Partida]])</f>
        <v>7</v>
      </c>
      <c r="F347" s="35" t="str">
        <f>Tabla1[[#This Row],[Partida]]&amp;" : "&amp;Tabla1[[#This Row],[Descripción larga]]</f>
        <v>J-08-01 : SUBCONTRATOS - INSTALACIONES - BASCULA</v>
      </c>
    </row>
    <row r="348" spans="2:6" ht="14.45" x14ac:dyDescent="0.35">
      <c r="B348" s="31" t="s">
        <v>1465</v>
      </c>
      <c r="C348" s="31" t="s">
        <v>1465</v>
      </c>
      <c r="D348" s="31" t="s">
        <v>1466</v>
      </c>
      <c r="E348" s="35">
        <f>LEN(Tabla1[[#This Row],[Partida]])</f>
        <v>1</v>
      </c>
      <c r="F348" s="35" t="str">
        <f>Tabla1[[#This Row],[Partida]]&amp;" : "&amp;Tabla1[[#This Row],[Descripción larga]]</f>
        <v>K : AREA DESCANSO - CENTRO DISTRIBUCION</v>
      </c>
    </row>
    <row r="349" spans="2:6" ht="14.45" x14ac:dyDescent="0.35">
      <c r="B349" s="31" t="s">
        <v>1467</v>
      </c>
      <c r="C349" s="31" t="s">
        <v>1468</v>
      </c>
      <c r="D349" s="31" t="s">
        <v>1469</v>
      </c>
      <c r="E349" s="35">
        <f>LEN(Tabla1[[#This Row],[Partida]])</f>
        <v>4</v>
      </c>
      <c r="F349" s="35" t="str">
        <f>Tabla1[[#This Row],[Partida]]&amp;" : "&amp;Tabla1[[#This Row],[Descripción larga]]</f>
        <v>K-01 : CIMENTACION - AREA DE DESCANSO</v>
      </c>
    </row>
    <row r="350" spans="2:6" ht="14.45" x14ac:dyDescent="0.35">
      <c r="B350" s="31" t="s">
        <v>1470</v>
      </c>
      <c r="C350" s="31" t="s">
        <v>1471</v>
      </c>
      <c r="D350" s="31" t="s">
        <v>1472</v>
      </c>
      <c r="E350" s="35">
        <f>LEN(Tabla1[[#This Row],[Partida]])</f>
        <v>7</v>
      </c>
      <c r="F350" s="35" t="str">
        <f>Tabla1[[#This Row],[Partida]]&amp;" : "&amp;Tabla1[[#This Row],[Descripción larga]]</f>
        <v>K-01-01 : MATERIALES, HERR Y EQ - CIMENTACION - AREA DE DESCANSO</v>
      </c>
    </row>
    <row r="351" spans="2:6" ht="14.45" x14ac:dyDescent="0.35">
      <c r="B351" s="31" t="s">
        <v>1473</v>
      </c>
      <c r="C351" s="31" t="s">
        <v>1474</v>
      </c>
      <c r="D351" s="31" t="s">
        <v>1475</v>
      </c>
      <c r="E351" s="35">
        <f>LEN(Tabla1[[#This Row],[Partida]])</f>
        <v>7</v>
      </c>
      <c r="F351" s="35" t="str">
        <f>Tabla1[[#This Row],[Partida]]&amp;" : "&amp;Tabla1[[#This Row],[Descripción larga]]</f>
        <v>K-01-02 : MO - CIMENTACION - AREA DE DESCANSO</v>
      </c>
    </row>
    <row r="352" spans="2:6" ht="14.45" x14ac:dyDescent="0.35">
      <c r="B352" s="31" t="s">
        <v>1476</v>
      </c>
      <c r="C352" s="31" t="s">
        <v>1477</v>
      </c>
      <c r="D352" s="31" t="s">
        <v>1478</v>
      </c>
      <c r="E352" s="35">
        <f>LEN(Tabla1[[#This Row],[Partida]])</f>
        <v>7</v>
      </c>
      <c r="F352" s="35" t="str">
        <f>Tabla1[[#This Row],[Partida]]&amp;" : "&amp;Tabla1[[#This Row],[Descripción larga]]</f>
        <v>K-01-03 : SUBCONTRATOS - CIMENTACION - AREA DE DESCANSO</v>
      </c>
    </row>
    <row r="353" spans="2:6" ht="14.45" x14ac:dyDescent="0.35">
      <c r="B353" s="31" t="s">
        <v>1479</v>
      </c>
      <c r="C353" s="31" t="s">
        <v>1480</v>
      </c>
      <c r="D353" s="31" t="s">
        <v>1481</v>
      </c>
      <c r="E353" s="35">
        <f>LEN(Tabla1[[#This Row],[Partida]])</f>
        <v>4</v>
      </c>
      <c r="F353" s="35" t="str">
        <f>Tabla1[[#This Row],[Partida]]&amp;" : "&amp;Tabla1[[#This Row],[Descripción larga]]</f>
        <v>K-02 : PISOS - AREA DE DESCANSO</v>
      </c>
    </row>
    <row r="354" spans="2:6" ht="14.45" x14ac:dyDescent="0.35">
      <c r="B354" s="31" t="s">
        <v>1482</v>
      </c>
      <c r="C354" s="31" t="s">
        <v>1483</v>
      </c>
      <c r="D354" s="31" t="s">
        <v>1484</v>
      </c>
      <c r="E354" s="35">
        <f>LEN(Tabla1[[#This Row],[Partida]])</f>
        <v>7</v>
      </c>
      <c r="F354" s="35" t="str">
        <f>Tabla1[[#This Row],[Partida]]&amp;" : "&amp;Tabla1[[#This Row],[Descripción larga]]</f>
        <v>K-02-01 : MATERIALES, HERR Y EQ - PISOS - AREA DE DESCANSO</v>
      </c>
    </row>
    <row r="355" spans="2:6" ht="14.45" x14ac:dyDescent="0.35">
      <c r="B355" s="31" t="s">
        <v>1485</v>
      </c>
      <c r="C355" s="31" t="s">
        <v>1486</v>
      </c>
      <c r="D355" s="31" t="s">
        <v>1487</v>
      </c>
      <c r="E355" s="35">
        <f>LEN(Tabla1[[#This Row],[Partida]])</f>
        <v>7</v>
      </c>
      <c r="F355" s="35" t="str">
        <f>Tabla1[[#This Row],[Partida]]&amp;" : "&amp;Tabla1[[#This Row],[Descripción larga]]</f>
        <v>K-02-02 : MO - PISOS - AREA DE DESCANSO</v>
      </c>
    </row>
    <row r="356" spans="2:6" ht="14.45" x14ac:dyDescent="0.35">
      <c r="B356" s="31" t="s">
        <v>1488</v>
      </c>
      <c r="C356" s="31" t="s">
        <v>1489</v>
      </c>
      <c r="D356" s="31" t="s">
        <v>1490</v>
      </c>
      <c r="E356" s="35">
        <f>LEN(Tabla1[[#This Row],[Partida]])</f>
        <v>7</v>
      </c>
      <c r="F356" s="35" t="str">
        <f>Tabla1[[#This Row],[Partida]]&amp;" : "&amp;Tabla1[[#This Row],[Descripción larga]]</f>
        <v>K-02-03 : SERVICIOS PROFESIONALES - PISOS - AREA DE DESCANSO</v>
      </c>
    </row>
    <row r="357" spans="2:6" ht="14.45" x14ac:dyDescent="0.35">
      <c r="B357" s="31" t="s">
        <v>1491</v>
      </c>
      <c r="C357" s="31" t="s">
        <v>1492</v>
      </c>
      <c r="D357" s="31" t="s">
        <v>1493</v>
      </c>
      <c r="E357" s="35">
        <f>LEN(Tabla1[[#This Row],[Partida]])</f>
        <v>4</v>
      </c>
      <c r="F357" s="35" t="str">
        <f>Tabla1[[#This Row],[Partida]]&amp;" : "&amp;Tabla1[[#This Row],[Descripción larga]]</f>
        <v>K-03 : PLAFONES - AREA DE DESCANSO</v>
      </c>
    </row>
    <row r="358" spans="2:6" ht="14.45" x14ac:dyDescent="0.35">
      <c r="B358" s="31" t="s">
        <v>1494</v>
      </c>
      <c r="C358" s="31" t="s">
        <v>1495</v>
      </c>
      <c r="D358" s="31" t="s">
        <v>1496</v>
      </c>
      <c r="E358" s="35">
        <f>LEN(Tabla1[[#This Row],[Partida]])</f>
        <v>7</v>
      </c>
      <c r="F358" s="35" t="str">
        <f>Tabla1[[#This Row],[Partida]]&amp;" : "&amp;Tabla1[[#This Row],[Descripción larga]]</f>
        <v>K-03-01 : SUBCONTRATOS - PLAFONES - AREA DE DESCANSO</v>
      </c>
    </row>
    <row r="359" spans="2:6" ht="14.45" x14ac:dyDescent="0.35">
      <c r="B359" s="31" t="s">
        <v>1497</v>
      </c>
      <c r="C359" s="31" t="s">
        <v>1498</v>
      </c>
      <c r="D359" s="31" t="s">
        <v>1499</v>
      </c>
      <c r="E359" s="35">
        <f>LEN(Tabla1[[#This Row],[Partida]])</f>
        <v>4</v>
      </c>
      <c r="F359" s="35" t="str">
        <f>Tabla1[[#This Row],[Partida]]&amp;" : "&amp;Tabla1[[#This Row],[Descripción larga]]</f>
        <v>K-04 : ALBAÑILERIAS - AREA DE DESCANSO</v>
      </c>
    </row>
    <row r="360" spans="2:6" ht="14.45" x14ac:dyDescent="0.35">
      <c r="B360" s="31" t="s">
        <v>1500</v>
      </c>
      <c r="C360" s="31" t="s">
        <v>1501</v>
      </c>
      <c r="D360" s="31" t="s">
        <v>1502</v>
      </c>
      <c r="E360" s="35">
        <f>LEN(Tabla1[[#This Row],[Partida]])</f>
        <v>7</v>
      </c>
      <c r="F360" s="35" t="str">
        <f>Tabla1[[#This Row],[Partida]]&amp;" : "&amp;Tabla1[[#This Row],[Descripción larga]]</f>
        <v>K-04-01 : MATERIALES, HERR Y EQ - ALBAÑILERIAS - AREA DE DESCANSO</v>
      </c>
    </row>
    <row r="361" spans="2:6" ht="14.45" x14ac:dyDescent="0.35">
      <c r="B361" s="31" t="s">
        <v>1503</v>
      </c>
      <c r="C361" s="31" t="s">
        <v>1504</v>
      </c>
      <c r="D361" s="31" t="s">
        <v>1505</v>
      </c>
      <c r="E361" s="35">
        <f>LEN(Tabla1[[#This Row],[Partida]])</f>
        <v>7</v>
      </c>
      <c r="F361" s="35" t="str">
        <f>Tabla1[[#This Row],[Partida]]&amp;" : "&amp;Tabla1[[#This Row],[Descripción larga]]</f>
        <v>K-04-02 : MO - ALBAÑILERIAS - AREA DE DESCANSO</v>
      </c>
    </row>
    <row r="362" spans="2:6" ht="14.45" x14ac:dyDescent="0.35">
      <c r="B362" s="31" t="s">
        <v>1506</v>
      </c>
      <c r="C362" s="31" t="s">
        <v>1507</v>
      </c>
      <c r="D362" s="31" t="s">
        <v>1508</v>
      </c>
      <c r="E362" s="35">
        <f>LEN(Tabla1[[#This Row],[Partida]])</f>
        <v>7</v>
      </c>
      <c r="F362" s="35" t="str">
        <f>Tabla1[[#This Row],[Partida]]&amp;" : "&amp;Tabla1[[#This Row],[Descripción larga]]</f>
        <v>K-04-03 : SERVICIOS PROFESIONALES - ALBAÑILERIAS - AREA DE DESCANSO</v>
      </c>
    </row>
    <row r="363" spans="2:6" ht="14.45" x14ac:dyDescent="0.35">
      <c r="B363" s="31" t="s">
        <v>1509</v>
      </c>
      <c r="C363" s="31" t="s">
        <v>1510</v>
      </c>
      <c r="D363" s="31" t="s">
        <v>1511</v>
      </c>
      <c r="E363" s="35">
        <f>LEN(Tabla1[[#This Row],[Partida]])</f>
        <v>7</v>
      </c>
      <c r="F363" s="35" t="str">
        <f>Tabla1[[#This Row],[Partida]]&amp;" : "&amp;Tabla1[[#This Row],[Descripción larga]]</f>
        <v>K-04-04 : SUBCONTRATOS - ALBAÑILERIAS - AREA DE DESCANSO</v>
      </c>
    </row>
    <row r="364" spans="2:6" ht="14.45" x14ac:dyDescent="0.35">
      <c r="B364" s="31" t="s">
        <v>1512</v>
      </c>
      <c r="C364" s="31" t="s">
        <v>1513</v>
      </c>
      <c r="D364" s="31" t="s">
        <v>1514</v>
      </c>
      <c r="E364" s="35">
        <f>LEN(Tabla1[[#This Row],[Partida]])</f>
        <v>4</v>
      </c>
      <c r="F364" s="35" t="str">
        <f>Tabla1[[#This Row],[Partida]]&amp;" : "&amp;Tabla1[[#This Row],[Descripción larga]]</f>
        <v>K-05 : ACABADOS - AREA DE DESCANSO</v>
      </c>
    </row>
    <row r="365" spans="2:6" ht="14.45" x14ac:dyDescent="0.35">
      <c r="B365" s="31" t="s">
        <v>1515</v>
      </c>
      <c r="C365" s="31" t="s">
        <v>1516</v>
      </c>
      <c r="D365" s="31" t="s">
        <v>1517</v>
      </c>
      <c r="E365" s="35">
        <f>LEN(Tabla1[[#This Row],[Partida]])</f>
        <v>7</v>
      </c>
      <c r="F365" s="35" t="str">
        <f>Tabla1[[#This Row],[Partida]]&amp;" : "&amp;Tabla1[[#This Row],[Descripción larga]]</f>
        <v>K-05-01 : MATERIALES, HERR Y EQ - ACABADOS - AREA DE DESCANSO</v>
      </c>
    </row>
    <row r="366" spans="2:6" ht="14.45" x14ac:dyDescent="0.35">
      <c r="B366" s="31" t="s">
        <v>1518</v>
      </c>
      <c r="C366" s="31" t="s">
        <v>1519</v>
      </c>
      <c r="D366" s="31" t="s">
        <v>1520</v>
      </c>
      <c r="E366" s="35">
        <f>LEN(Tabla1[[#This Row],[Partida]])</f>
        <v>7</v>
      </c>
      <c r="F366" s="35" t="str">
        <f>Tabla1[[#This Row],[Partida]]&amp;" : "&amp;Tabla1[[#This Row],[Descripción larga]]</f>
        <v>K-05-02 : MO - ACABADOS - AREA DE DESCANSO</v>
      </c>
    </row>
    <row r="367" spans="2:6" ht="14.45" x14ac:dyDescent="0.35">
      <c r="B367" s="31" t="s">
        <v>1521</v>
      </c>
      <c r="C367" s="31" t="s">
        <v>1522</v>
      </c>
      <c r="D367" s="31" t="s">
        <v>1523</v>
      </c>
      <c r="E367" s="35">
        <f>LEN(Tabla1[[#This Row],[Partida]])</f>
        <v>7</v>
      </c>
      <c r="F367" s="35" t="str">
        <f>Tabla1[[#This Row],[Partida]]&amp;" : "&amp;Tabla1[[#This Row],[Descripción larga]]</f>
        <v>K-05-03 : SERVICIOS PROFESIONALES - ACABADOS - AREA DE DESCANSO</v>
      </c>
    </row>
    <row r="368" spans="2:6" ht="14.45" x14ac:dyDescent="0.35">
      <c r="B368" s="31" t="s">
        <v>1524</v>
      </c>
      <c r="C368" s="31" t="s">
        <v>1525</v>
      </c>
      <c r="D368" s="31" t="s">
        <v>1526</v>
      </c>
      <c r="E368" s="35">
        <f>LEN(Tabla1[[#This Row],[Partida]])</f>
        <v>7</v>
      </c>
      <c r="F368" s="35" t="str">
        <f>Tabla1[[#This Row],[Partida]]&amp;" : "&amp;Tabla1[[#This Row],[Descripción larga]]</f>
        <v>K-05-04 : SUBCONTRATOS - ACABADOS - AREA DE DESCANSO</v>
      </c>
    </row>
    <row r="369" spans="2:6" ht="14.45" x14ac:dyDescent="0.35">
      <c r="B369" s="31" t="s">
        <v>1527</v>
      </c>
      <c r="C369" s="31" t="s">
        <v>1528</v>
      </c>
      <c r="D369" s="31" t="s">
        <v>1529</v>
      </c>
      <c r="E369" s="35">
        <f>LEN(Tabla1[[#This Row],[Partida]])</f>
        <v>4</v>
      </c>
      <c r="F369" s="35" t="str">
        <f>Tabla1[[#This Row],[Partida]]&amp;" : "&amp;Tabla1[[#This Row],[Descripción larga]]</f>
        <v>K-06 : ESTRUCTURA METALICA - AREA DE DESCANSO</v>
      </c>
    </row>
    <row r="370" spans="2:6" ht="14.45" x14ac:dyDescent="0.35">
      <c r="B370" s="31" t="s">
        <v>1530</v>
      </c>
      <c r="C370" s="31" t="s">
        <v>1531</v>
      </c>
      <c r="D370" s="31" t="s">
        <v>1532</v>
      </c>
      <c r="E370" s="35">
        <f>LEN(Tabla1[[#This Row],[Partida]])</f>
        <v>7</v>
      </c>
      <c r="F370" s="35" t="str">
        <f>Tabla1[[#This Row],[Partida]]&amp;" : "&amp;Tabla1[[#This Row],[Descripción larga]]</f>
        <v>K-06-01 : SUBCONTRATOS - EM - AREA DE DESCANSO</v>
      </c>
    </row>
    <row r="371" spans="2:6" ht="14.45" x14ac:dyDescent="0.35">
      <c r="B371" s="31" t="s">
        <v>1533</v>
      </c>
      <c r="C371" s="31" t="s">
        <v>1534</v>
      </c>
      <c r="D371" s="31" t="s">
        <v>1535</v>
      </c>
      <c r="E371" s="35">
        <f>LEN(Tabla1[[#This Row],[Partida]])</f>
        <v>4</v>
      </c>
      <c r="F371" s="35" t="str">
        <f>Tabla1[[#This Row],[Partida]]&amp;" : "&amp;Tabla1[[#This Row],[Descripción larga]]</f>
        <v>K-07 : TECHUMBRE O CUBIERTAS - AREA DE DESCANSO</v>
      </c>
    </row>
    <row r="372" spans="2:6" ht="14.45" x14ac:dyDescent="0.35">
      <c r="B372" s="31" t="s">
        <v>1536</v>
      </c>
      <c r="C372" s="31" t="s">
        <v>1537</v>
      </c>
      <c r="D372" s="31" t="s">
        <v>1538</v>
      </c>
      <c r="E372" s="35">
        <f>LEN(Tabla1[[#This Row],[Partida]])</f>
        <v>7</v>
      </c>
      <c r="F372" s="35" t="str">
        <f>Tabla1[[#This Row],[Partida]]&amp;" : "&amp;Tabla1[[#This Row],[Descripción larga]]</f>
        <v>K-07-01 : SUBCONTRATOS - CUBIERTAS - AREA DE DESCANSO</v>
      </c>
    </row>
    <row r="373" spans="2:6" ht="14.45" x14ac:dyDescent="0.35">
      <c r="B373" s="31" t="s">
        <v>1539</v>
      </c>
      <c r="C373" s="31" t="s">
        <v>1540</v>
      </c>
      <c r="D373" s="31" t="s">
        <v>1541</v>
      </c>
      <c r="E373" s="35">
        <f>LEN(Tabla1[[#This Row],[Partida]])</f>
        <v>4</v>
      </c>
      <c r="F373" s="35" t="str">
        <f>Tabla1[[#This Row],[Partida]]&amp;" : "&amp;Tabla1[[#This Row],[Descripción larga]]</f>
        <v>K-08 : LAMINA EN FACHADA - AREA DE DESCANSO</v>
      </c>
    </row>
    <row r="374" spans="2:6" ht="14.45" x14ac:dyDescent="0.35">
      <c r="B374" s="31" t="s">
        <v>1542</v>
      </c>
      <c r="C374" s="31" t="s">
        <v>1543</v>
      </c>
      <c r="D374" s="31" t="s">
        <v>1544</v>
      </c>
      <c r="E374" s="35">
        <f>LEN(Tabla1[[#This Row],[Partida]])</f>
        <v>7</v>
      </c>
      <c r="F374" s="35" t="str">
        <f>Tabla1[[#This Row],[Partida]]&amp;" : "&amp;Tabla1[[#This Row],[Descripción larga]]</f>
        <v>K-08-01 : SUBCONTRATOS - LAMINA FACHADA - AREA DE DESCANSO</v>
      </c>
    </row>
    <row r="375" spans="2:6" ht="14.45" x14ac:dyDescent="0.35">
      <c r="B375" s="31" t="s">
        <v>1545</v>
      </c>
      <c r="C375" s="31" t="s">
        <v>1546</v>
      </c>
      <c r="D375" s="31" t="s">
        <v>1547</v>
      </c>
      <c r="E375" s="35">
        <f>LEN(Tabla1[[#This Row],[Partida]])</f>
        <v>4</v>
      </c>
      <c r="F375" s="35" t="str">
        <f>Tabla1[[#This Row],[Partida]]&amp;" : "&amp;Tabla1[[#This Row],[Descripción larga]]</f>
        <v>K-09 : MUEBLES DE BAÑO - AREA DE DESCANSO</v>
      </c>
    </row>
    <row r="376" spans="2:6" ht="14.45" x14ac:dyDescent="0.35">
      <c r="B376" s="31" t="s">
        <v>1548</v>
      </c>
      <c r="C376" s="31" t="s">
        <v>1549</v>
      </c>
      <c r="D376" s="31" t="s">
        <v>1550</v>
      </c>
      <c r="E376" s="35">
        <f>LEN(Tabla1[[#This Row],[Partida]])</f>
        <v>7</v>
      </c>
      <c r="F376" s="35" t="str">
        <f>Tabla1[[#This Row],[Partida]]&amp;" : "&amp;Tabla1[[#This Row],[Descripción larga]]</f>
        <v>K-09-01 : SUBCONTRATOS - MUEBLES BAÑO - AREA DE DESCANSO</v>
      </c>
    </row>
    <row r="377" spans="2:6" ht="14.45" x14ac:dyDescent="0.35">
      <c r="B377" s="31" t="s">
        <v>1551</v>
      </c>
      <c r="C377" s="31" t="s">
        <v>1552</v>
      </c>
      <c r="D377" s="31" t="s">
        <v>1553</v>
      </c>
      <c r="E377" s="35">
        <f>LEN(Tabla1[[#This Row],[Partida]])</f>
        <v>4</v>
      </c>
      <c r="F377" s="35" t="str">
        <f>Tabla1[[#This Row],[Partida]]&amp;" : "&amp;Tabla1[[#This Row],[Descripción larga]]</f>
        <v>K-10 : INSTALACIONES - AREA DE DESCANSO</v>
      </c>
    </row>
    <row r="378" spans="2:6" ht="14.45" x14ac:dyDescent="0.35">
      <c r="B378" s="31" t="s">
        <v>1554</v>
      </c>
      <c r="C378" s="31" t="s">
        <v>1555</v>
      </c>
      <c r="D378" s="31" t="s">
        <v>1556</v>
      </c>
      <c r="E378" s="35">
        <f>LEN(Tabla1[[#This Row],[Partida]])</f>
        <v>7</v>
      </c>
      <c r="F378" s="35" t="str">
        <f>Tabla1[[#This Row],[Partida]]&amp;" : "&amp;Tabla1[[#This Row],[Descripción larga]]</f>
        <v>K-10-01 : SERVICIOS PROFESIONALES - INSTALACIONES - AREA DE DESCANSO</v>
      </c>
    </row>
    <row r="379" spans="2:6" ht="14.45" x14ac:dyDescent="0.35">
      <c r="B379" s="31" t="s">
        <v>1557</v>
      </c>
      <c r="C379" s="31" t="s">
        <v>1558</v>
      </c>
      <c r="D379" s="31" t="s">
        <v>1559</v>
      </c>
      <c r="E379" s="35">
        <f>LEN(Tabla1[[#This Row],[Partida]])</f>
        <v>7</v>
      </c>
      <c r="F379" s="35" t="str">
        <f>Tabla1[[#This Row],[Partida]]&amp;" : "&amp;Tabla1[[#This Row],[Descripción larga]]</f>
        <v>K-10-02 : SUBCONTRATOS - INSTALACIONES - AREA DE DESCANSO</v>
      </c>
    </row>
    <row r="380" spans="2:6" ht="14.45" x14ac:dyDescent="0.35">
      <c r="B380" s="31" t="s">
        <v>1560</v>
      </c>
      <c r="C380" s="31" t="s">
        <v>1560</v>
      </c>
      <c r="D380" s="31" t="s">
        <v>1561</v>
      </c>
      <c r="E380" s="35">
        <f>LEN(Tabla1[[#This Row],[Partida]])</f>
        <v>1</v>
      </c>
      <c r="F380" s="35" t="str">
        <f>Tabla1[[#This Row],[Partida]]&amp;" : "&amp;Tabla1[[#This Row],[Descripción larga]]</f>
        <v>L : CASETA SALIDA - CENTRO DISTRIBUCION</v>
      </c>
    </row>
    <row r="381" spans="2:6" ht="14.45" x14ac:dyDescent="0.35">
      <c r="B381" s="31" t="s">
        <v>1562</v>
      </c>
      <c r="C381" s="31" t="s">
        <v>1563</v>
      </c>
      <c r="D381" s="31" t="s">
        <v>1564</v>
      </c>
      <c r="E381" s="35">
        <f>LEN(Tabla1[[#This Row],[Partida]])</f>
        <v>4</v>
      </c>
      <c r="F381" s="35" t="str">
        <f>Tabla1[[#This Row],[Partida]]&amp;" : "&amp;Tabla1[[#This Row],[Descripción larga]]</f>
        <v>L-01 : CIMENTACION - CASETA SALIDA TRAILERS</v>
      </c>
    </row>
    <row r="382" spans="2:6" ht="14.45" x14ac:dyDescent="0.35">
      <c r="B382" s="31" t="s">
        <v>1565</v>
      </c>
      <c r="C382" s="31" t="s">
        <v>1566</v>
      </c>
      <c r="D382" s="31" t="s">
        <v>1567</v>
      </c>
      <c r="E382" s="35">
        <f>LEN(Tabla1[[#This Row],[Partida]])</f>
        <v>7</v>
      </c>
      <c r="F382" s="35" t="str">
        <f>Tabla1[[#This Row],[Partida]]&amp;" : "&amp;Tabla1[[#This Row],[Descripción larga]]</f>
        <v>L-01-01 : MATERIALES, HERR Y EQ - CIMENTACION - CASETA SALIDA TRAILERS</v>
      </c>
    </row>
    <row r="383" spans="2:6" ht="14.45" x14ac:dyDescent="0.35">
      <c r="B383" s="31" t="s">
        <v>1568</v>
      </c>
      <c r="C383" s="31" t="s">
        <v>1569</v>
      </c>
      <c r="D383" s="31" t="s">
        <v>1570</v>
      </c>
      <c r="E383" s="35">
        <f>LEN(Tabla1[[#This Row],[Partida]])</f>
        <v>7</v>
      </c>
      <c r="F383" s="35" t="str">
        <f>Tabla1[[#This Row],[Partida]]&amp;" : "&amp;Tabla1[[#This Row],[Descripción larga]]</f>
        <v>L-01-02 : MO - CIMENTACION - CASETA SALIDA TRAILERS</v>
      </c>
    </row>
    <row r="384" spans="2:6" ht="14.45" x14ac:dyDescent="0.35">
      <c r="B384" s="31" t="s">
        <v>1571</v>
      </c>
      <c r="C384" s="31" t="s">
        <v>1572</v>
      </c>
      <c r="D384" s="31" t="s">
        <v>1573</v>
      </c>
      <c r="E384" s="35">
        <f>LEN(Tabla1[[#This Row],[Partida]])</f>
        <v>7</v>
      </c>
      <c r="F384" s="35" t="str">
        <f>Tabla1[[#This Row],[Partida]]&amp;" : "&amp;Tabla1[[#This Row],[Descripción larga]]</f>
        <v>L-01-03 : SUBCONTRATOS - CIMENTACION - CASETA SALIDA TRAILERS</v>
      </c>
    </row>
    <row r="385" spans="2:6" ht="14.45" x14ac:dyDescent="0.35">
      <c r="B385" s="31" t="s">
        <v>1574</v>
      </c>
      <c r="C385" s="31" t="s">
        <v>1575</v>
      </c>
      <c r="D385" s="31" t="s">
        <v>1576</v>
      </c>
      <c r="E385" s="35">
        <f>LEN(Tabla1[[#This Row],[Partida]])</f>
        <v>4</v>
      </c>
      <c r="F385" s="35" t="str">
        <f>Tabla1[[#This Row],[Partida]]&amp;" : "&amp;Tabla1[[#This Row],[Descripción larga]]</f>
        <v>L-02 : PISOS - CASETA SALIDA TRAILERS</v>
      </c>
    </row>
    <row r="386" spans="2:6" ht="14.45" x14ac:dyDescent="0.35">
      <c r="B386" s="31" t="s">
        <v>1577</v>
      </c>
      <c r="C386" s="31" t="s">
        <v>1578</v>
      </c>
      <c r="D386" s="31" t="s">
        <v>1579</v>
      </c>
      <c r="E386" s="35">
        <f>LEN(Tabla1[[#This Row],[Partida]])</f>
        <v>7</v>
      </c>
      <c r="F386" s="35" t="str">
        <f>Tabla1[[#This Row],[Partida]]&amp;" : "&amp;Tabla1[[#This Row],[Descripción larga]]</f>
        <v>L-02-01 : MATERIALES, HERR Y EQ - PISOS - CASETA SALIDA TRAILERS</v>
      </c>
    </row>
    <row r="387" spans="2:6" ht="14.45" x14ac:dyDescent="0.35">
      <c r="B387" s="31" t="s">
        <v>1580</v>
      </c>
      <c r="C387" s="31" t="s">
        <v>1581</v>
      </c>
      <c r="D387" s="31" t="s">
        <v>1582</v>
      </c>
      <c r="E387" s="35">
        <f>LEN(Tabla1[[#This Row],[Partida]])</f>
        <v>7</v>
      </c>
      <c r="F387" s="35" t="str">
        <f>Tabla1[[#This Row],[Partida]]&amp;" : "&amp;Tabla1[[#This Row],[Descripción larga]]</f>
        <v>L-02-02 : MO - PISOS - CASETA SALIDA TRAILERS</v>
      </c>
    </row>
    <row r="388" spans="2:6" ht="14.45" x14ac:dyDescent="0.35">
      <c r="B388" s="31" t="s">
        <v>1583</v>
      </c>
      <c r="C388" s="31" t="s">
        <v>1584</v>
      </c>
      <c r="D388" s="31" t="s">
        <v>1585</v>
      </c>
      <c r="E388" s="35">
        <f>LEN(Tabla1[[#This Row],[Partida]])</f>
        <v>7</v>
      </c>
      <c r="F388" s="35" t="str">
        <f>Tabla1[[#This Row],[Partida]]&amp;" : "&amp;Tabla1[[#This Row],[Descripción larga]]</f>
        <v>L-02-03 : SERVICIOS PROFESIONALES - PISOS - CASETA SALIDA TRAILERS</v>
      </c>
    </row>
    <row r="389" spans="2:6" ht="14.45" x14ac:dyDescent="0.35">
      <c r="B389" s="31" t="s">
        <v>1586</v>
      </c>
      <c r="C389" s="31" t="s">
        <v>1587</v>
      </c>
      <c r="D389" s="31" t="s">
        <v>1588</v>
      </c>
      <c r="E389" s="35">
        <f>LEN(Tabla1[[#This Row],[Partida]])</f>
        <v>4</v>
      </c>
      <c r="F389" s="35" t="str">
        <f>Tabla1[[#This Row],[Partida]]&amp;" : "&amp;Tabla1[[#This Row],[Descripción larga]]</f>
        <v>L-03 : PLAFONES - CASETA SALIDA TRAILERS</v>
      </c>
    </row>
    <row r="390" spans="2:6" ht="14.45" x14ac:dyDescent="0.35">
      <c r="B390" s="31" t="s">
        <v>1589</v>
      </c>
      <c r="C390" s="31" t="s">
        <v>1590</v>
      </c>
      <c r="D390" s="31" t="s">
        <v>1591</v>
      </c>
      <c r="E390" s="35">
        <f>LEN(Tabla1[[#This Row],[Partida]])</f>
        <v>7</v>
      </c>
      <c r="F390" s="35" t="str">
        <f>Tabla1[[#This Row],[Partida]]&amp;" : "&amp;Tabla1[[#This Row],[Descripción larga]]</f>
        <v>L-03-01 : SUBCONTRATOS - PLAFONES - CASETA SALIDA TRAILERS</v>
      </c>
    </row>
    <row r="391" spans="2:6" ht="14.45" x14ac:dyDescent="0.35">
      <c r="B391" s="31" t="s">
        <v>1592</v>
      </c>
      <c r="C391" s="31" t="s">
        <v>1593</v>
      </c>
      <c r="D391" s="31" t="s">
        <v>1594</v>
      </c>
      <c r="E391" s="35">
        <f>LEN(Tabla1[[#This Row],[Partida]])</f>
        <v>4</v>
      </c>
      <c r="F391" s="35" t="str">
        <f>Tabla1[[#This Row],[Partida]]&amp;" : "&amp;Tabla1[[#This Row],[Descripción larga]]</f>
        <v>L-04 : ALBAÑILERIAS - CASETA SALIDA TRAILERS</v>
      </c>
    </row>
    <row r="392" spans="2:6" ht="14.45" x14ac:dyDescent="0.35">
      <c r="B392" s="31" t="s">
        <v>1595</v>
      </c>
      <c r="C392" s="31" t="s">
        <v>1596</v>
      </c>
      <c r="D392" s="31" t="s">
        <v>1597</v>
      </c>
      <c r="E392" s="35">
        <f>LEN(Tabla1[[#This Row],[Partida]])</f>
        <v>7</v>
      </c>
      <c r="F392" s="35" t="str">
        <f>Tabla1[[#This Row],[Partida]]&amp;" : "&amp;Tabla1[[#This Row],[Descripción larga]]</f>
        <v>L-04-01 : MATERIALES, HERR Y EQ - ALBAÑILERIAS - CASETA SALIDA TRAILERS</v>
      </c>
    </row>
    <row r="393" spans="2:6" ht="14.45" x14ac:dyDescent="0.35">
      <c r="B393" s="31" t="s">
        <v>1598</v>
      </c>
      <c r="C393" s="31" t="s">
        <v>1599</v>
      </c>
      <c r="D393" s="31" t="s">
        <v>1600</v>
      </c>
      <c r="E393" s="35">
        <f>LEN(Tabla1[[#This Row],[Partida]])</f>
        <v>7</v>
      </c>
      <c r="F393" s="35" t="str">
        <f>Tabla1[[#This Row],[Partida]]&amp;" : "&amp;Tabla1[[#This Row],[Descripción larga]]</f>
        <v>L-04-02 : MO - ALBAÑILERIAS - CASETA SALIDA TRAILERS</v>
      </c>
    </row>
    <row r="394" spans="2:6" ht="14.45" x14ac:dyDescent="0.35">
      <c r="B394" s="31" t="s">
        <v>1601</v>
      </c>
      <c r="C394" s="31" t="s">
        <v>1602</v>
      </c>
      <c r="D394" s="31" t="s">
        <v>1603</v>
      </c>
      <c r="E394" s="35">
        <f>LEN(Tabla1[[#This Row],[Partida]])</f>
        <v>7</v>
      </c>
      <c r="F394" s="35" t="str">
        <f>Tabla1[[#This Row],[Partida]]&amp;" : "&amp;Tabla1[[#This Row],[Descripción larga]]</f>
        <v>L-04-03 : SUBCONTRATOS - ALBAÑILERIAS - CASETA SALIDA TRAILERS</v>
      </c>
    </row>
    <row r="395" spans="2:6" ht="14.45" x14ac:dyDescent="0.35">
      <c r="B395" s="31" t="s">
        <v>1604</v>
      </c>
      <c r="C395" s="31" t="s">
        <v>1605</v>
      </c>
      <c r="D395" s="31" t="s">
        <v>1606</v>
      </c>
      <c r="E395" s="35">
        <f>LEN(Tabla1[[#This Row],[Partida]])</f>
        <v>4</v>
      </c>
      <c r="F395" s="35" t="str">
        <f>Tabla1[[#This Row],[Partida]]&amp;" : "&amp;Tabla1[[#This Row],[Descripción larga]]</f>
        <v>L-05 : ACABADOS - CASETA SALIDA TRAILERS</v>
      </c>
    </row>
    <row r="396" spans="2:6" ht="14.45" x14ac:dyDescent="0.35">
      <c r="B396" s="31" t="s">
        <v>1607</v>
      </c>
      <c r="C396" s="31" t="s">
        <v>1608</v>
      </c>
      <c r="D396" s="31" t="s">
        <v>1609</v>
      </c>
      <c r="E396" s="35">
        <f>LEN(Tabla1[[#This Row],[Partida]])</f>
        <v>7</v>
      </c>
      <c r="F396" s="35" t="str">
        <f>Tabla1[[#This Row],[Partida]]&amp;" : "&amp;Tabla1[[#This Row],[Descripción larga]]</f>
        <v>L-05-01 : MATERIALES, HERR Y EQ - ACABADOS - CASETA SALIDA TRAILERS</v>
      </c>
    </row>
    <row r="397" spans="2:6" ht="14.45" x14ac:dyDescent="0.35">
      <c r="B397" s="31" t="s">
        <v>1610</v>
      </c>
      <c r="C397" s="31" t="s">
        <v>1611</v>
      </c>
      <c r="D397" s="31" t="s">
        <v>1612</v>
      </c>
      <c r="E397" s="35">
        <f>LEN(Tabla1[[#This Row],[Partida]])</f>
        <v>7</v>
      </c>
      <c r="F397" s="35" t="str">
        <f>Tabla1[[#This Row],[Partida]]&amp;" : "&amp;Tabla1[[#This Row],[Descripción larga]]</f>
        <v>L-05-02 : MO - ACABADOS - CASETA SALIDA TRAILERS</v>
      </c>
    </row>
    <row r="398" spans="2:6" ht="14.45" x14ac:dyDescent="0.35">
      <c r="B398" s="31" t="s">
        <v>1613</v>
      </c>
      <c r="C398" s="31" t="s">
        <v>1614</v>
      </c>
      <c r="D398" s="31" t="s">
        <v>1615</v>
      </c>
      <c r="E398" s="35">
        <f>LEN(Tabla1[[#This Row],[Partida]])</f>
        <v>7</v>
      </c>
      <c r="F398" s="35" t="str">
        <f>Tabla1[[#This Row],[Partida]]&amp;" : "&amp;Tabla1[[#This Row],[Descripción larga]]</f>
        <v>L-05-03 : SERVICIOS PROFESIONALES - ACABADOS - CASETA SALIDA TRAILERS</v>
      </c>
    </row>
    <row r="399" spans="2:6" ht="14.45" x14ac:dyDescent="0.35">
      <c r="B399" s="31" t="s">
        <v>1616</v>
      </c>
      <c r="C399" s="31" t="s">
        <v>1617</v>
      </c>
      <c r="D399" s="31" t="s">
        <v>1618</v>
      </c>
      <c r="E399" s="35">
        <f>LEN(Tabla1[[#This Row],[Partida]])</f>
        <v>7</v>
      </c>
      <c r="F399" s="35" t="str">
        <f>Tabla1[[#This Row],[Partida]]&amp;" : "&amp;Tabla1[[#This Row],[Descripción larga]]</f>
        <v>L-05-04 : SUBCONTRATOS - ACABADOS - CASETA SALIDA TRAILERS</v>
      </c>
    </row>
    <row r="400" spans="2:6" ht="14.45" x14ac:dyDescent="0.35">
      <c r="B400" s="31" t="s">
        <v>1619</v>
      </c>
      <c r="C400" s="31" t="s">
        <v>1620</v>
      </c>
      <c r="D400" s="31" t="s">
        <v>1621</v>
      </c>
      <c r="E400" s="35">
        <f>LEN(Tabla1[[#This Row],[Partida]])</f>
        <v>4</v>
      </c>
      <c r="F400" s="35" t="str">
        <f>Tabla1[[#This Row],[Partida]]&amp;" : "&amp;Tabla1[[#This Row],[Descripción larga]]</f>
        <v>L-06 : ESTRUCTURA DE MAMPOSTERIA - CASETA SALIDA TRAILERS</v>
      </c>
    </row>
    <row r="401" spans="2:6" ht="14.45" x14ac:dyDescent="0.35">
      <c r="B401" s="31" t="s">
        <v>1622</v>
      </c>
      <c r="C401" s="31" t="s">
        <v>1623</v>
      </c>
      <c r="D401" s="31" t="s">
        <v>1624</v>
      </c>
      <c r="E401" s="35">
        <f>LEN(Tabla1[[#This Row],[Partida]])</f>
        <v>7</v>
      </c>
      <c r="F401" s="35" t="str">
        <f>Tabla1[[#This Row],[Partida]]&amp;" : "&amp;Tabla1[[#This Row],[Descripción larga]]</f>
        <v>L-06-01 : MATERIALES, HERR Y EQ - ESTRUCTURA MAMPOSTERIA - CASETA SALIDA TRAILERS</v>
      </c>
    </row>
    <row r="402" spans="2:6" ht="14.45" x14ac:dyDescent="0.35">
      <c r="B402" s="31" t="s">
        <v>1625</v>
      </c>
      <c r="C402" s="31" t="s">
        <v>1626</v>
      </c>
      <c r="D402" s="31" t="s">
        <v>1627</v>
      </c>
      <c r="E402" s="35">
        <f>LEN(Tabla1[[#This Row],[Partida]])</f>
        <v>7</v>
      </c>
      <c r="F402" s="35" t="str">
        <f>Tabla1[[#This Row],[Partida]]&amp;" : "&amp;Tabla1[[#This Row],[Descripción larga]]</f>
        <v>L-06-02 : MO - ESTRUCTURA MAMPOSTERIA - CASETA SALIDA TRAILERS</v>
      </c>
    </row>
    <row r="403" spans="2:6" ht="14.45" x14ac:dyDescent="0.35">
      <c r="B403" s="31" t="s">
        <v>1628</v>
      </c>
      <c r="C403" s="31" t="s">
        <v>1629</v>
      </c>
      <c r="D403" s="31" t="s">
        <v>1630</v>
      </c>
      <c r="E403" s="35">
        <f>LEN(Tabla1[[#This Row],[Partida]])</f>
        <v>7</v>
      </c>
      <c r="F403" s="35" t="str">
        <f>Tabla1[[#This Row],[Partida]]&amp;" : "&amp;Tabla1[[#This Row],[Descripción larga]]</f>
        <v>L-06-03 : SUBCONTRATOS - ESTRUCTURA MAMPOSTERIA - CASETA SALIDA TRAILERS</v>
      </c>
    </row>
    <row r="404" spans="2:6" ht="14.45" x14ac:dyDescent="0.35">
      <c r="B404" s="31" t="s">
        <v>1631</v>
      </c>
      <c r="C404" s="31" t="s">
        <v>1632</v>
      </c>
      <c r="D404" s="31" t="s">
        <v>1633</v>
      </c>
      <c r="E404" s="35">
        <f>LEN(Tabla1[[#This Row],[Partida]])</f>
        <v>4</v>
      </c>
      <c r="F404" s="35" t="str">
        <f>Tabla1[[#This Row],[Partida]]&amp;" : "&amp;Tabla1[[#This Row],[Descripción larga]]</f>
        <v>L-07 : ESTRUCTURA METALICA - CASETA SALIDA TRAILERS</v>
      </c>
    </row>
    <row r="405" spans="2:6" ht="14.45" x14ac:dyDescent="0.35">
      <c r="B405" s="31" t="s">
        <v>1634</v>
      </c>
      <c r="C405" s="31" t="s">
        <v>1635</v>
      </c>
      <c r="D405" s="31" t="s">
        <v>1636</v>
      </c>
      <c r="E405" s="35">
        <f>LEN(Tabla1[[#This Row],[Partida]])</f>
        <v>7</v>
      </c>
      <c r="F405" s="35" t="str">
        <f>Tabla1[[#This Row],[Partida]]&amp;" : "&amp;Tabla1[[#This Row],[Descripción larga]]</f>
        <v>L-07-01 : SUBCONTRATOS - EM - CASETA SALIDA TRAILERS</v>
      </c>
    </row>
    <row r="406" spans="2:6" ht="14.45" x14ac:dyDescent="0.35">
      <c r="B406" s="31" t="s">
        <v>1637</v>
      </c>
      <c r="C406" s="31" t="s">
        <v>1638</v>
      </c>
      <c r="D406" s="31" t="s">
        <v>1639</v>
      </c>
      <c r="E406" s="35">
        <f>LEN(Tabla1[[#This Row],[Partida]])</f>
        <v>4</v>
      </c>
      <c r="F406" s="35" t="str">
        <f>Tabla1[[#This Row],[Partida]]&amp;" : "&amp;Tabla1[[#This Row],[Descripción larga]]</f>
        <v>L-08 : TECHUMBRE O CUBIERTAS  - CASETA SALIDA TRAILERS</v>
      </c>
    </row>
    <row r="407" spans="2:6" ht="14.45" x14ac:dyDescent="0.35">
      <c r="B407" s="31" t="s">
        <v>1640</v>
      </c>
      <c r="C407" s="31" t="s">
        <v>1641</v>
      </c>
      <c r="D407" s="31" t="s">
        <v>1642</v>
      </c>
      <c r="E407" s="35">
        <f>LEN(Tabla1[[#This Row],[Partida]])</f>
        <v>7</v>
      </c>
      <c r="F407" s="35" t="str">
        <f>Tabla1[[#This Row],[Partida]]&amp;" : "&amp;Tabla1[[#This Row],[Descripción larga]]</f>
        <v>L-08-01 : SUBCONTRATOS - CUBIERTAS  - CASETA SALIDA TRAILERS</v>
      </c>
    </row>
    <row r="408" spans="2:6" ht="14.45" x14ac:dyDescent="0.35">
      <c r="B408" s="31" t="s">
        <v>1643</v>
      </c>
      <c r="C408" s="31" t="s">
        <v>1644</v>
      </c>
      <c r="D408" s="31" t="s">
        <v>1645</v>
      </c>
      <c r="E408" s="35">
        <f>LEN(Tabla1[[#This Row],[Partida]])</f>
        <v>4</v>
      </c>
      <c r="F408" s="35" t="str">
        <f>Tabla1[[#This Row],[Partida]]&amp;" : "&amp;Tabla1[[#This Row],[Descripción larga]]</f>
        <v>L-09 : LAMINA EN FACHADA  - CASETA SALIDA TRAILERS</v>
      </c>
    </row>
    <row r="409" spans="2:6" ht="14.45" x14ac:dyDescent="0.35">
      <c r="B409" s="31" t="s">
        <v>1646</v>
      </c>
      <c r="C409" s="31" t="s">
        <v>1647</v>
      </c>
      <c r="D409" s="31" t="s">
        <v>1648</v>
      </c>
      <c r="E409" s="35">
        <f>LEN(Tabla1[[#This Row],[Partida]])</f>
        <v>7</v>
      </c>
      <c r="F409" s="35" t="str">
        <f>Tabla1[[#This Row],[Partida]]&amp;" : "&amp;Tabla1[[#This Row],[Descripción larga]]</f>
        <v>L-09-01 : SUBCONTRATOS - LAMINA FACHADA  - CASETA SALIDA TRAILERS</v>
      </c>
    </row>
    <row r="410" spans="2:6" ht="14.45" x14ac:dyDescent="0.35">
      <c r="B410" s="31" t="s">
        <v>1649</v>
      </c>
      <c r="C410" s="31" t="s">
        <v>1650</v>
      </c>
      <c r="D410" s="31" t="s">
        <v>1651</v>
      </c>
      <c r="E410" s="35">
        <f>LEN(Tabla1[[#This Row],[Partida]])</f>
        <v>4</v>
      </c>
      <c r="F410" s="35" t="str">
        <f>Tabla1[[#This Row],[Partida]]&amp;" : "&amp;Tabla1[[#This Row],[Descripción larga]]</f>
        <v>L-10 : INSTALACIONES  - CASETA SALIDA TRAILERS</v>
      </c>
    </row>
    <row r="411" spans="2:6" ht="14.45" x14ac:dyDescent="0.35">
      <c r="B411" s="31" t="s">
        <v>1652</v>
      </c>
      <c r="C411" s="31" t="s">
        <v>1653</v>
      </c>
      <c r="D411" s="31" t="s">
        <v>1654</v>
      </c>
      <c r="E411" s="35">
        <f>LEN(Tabla1[[#This Row],[Partida]])</f>
        <v>7</v>
      </c>
      <c r="F411" s="35" t="str">
        <f>Tabla1[[#This Row],[Partida]]&amp;" : "&amp;Tabla1[[#This Row],[Descripción larga]]</f>
        <v>L-10-01 : SERVICIOS PROFESIONALES - INSTALACIONES  - CASETA SALIDA TRAILERS</v>
      </c>
    </row>
    <row r="412" spans="2:6" ht="14.45" x14ac:dyDescent="0.35">
      <c r="B412" s="31" t="s">
        <v>1655</v>
      </c>
      <c r="C412" s="31" t="s">
        <v>1656</v>
      </c>
      <c r="D412" s="31" t="s">
        <v>1657</v>
      </c>
      <c r="E412" s="35">
        <f>LEN(Tabla1[[#This Row],[Partida]])</f>
        <v>7</v>
      </c>
      <c r="F412" s="35" t="str">
        <f>Tabla1[[#This Row],[Partida]]&amp;" : "&amp;Tabla1[[#This Row],[Descripción larga]]</f>
        <v>L-10-02 : SUBCONTRATOS - INSTALACIONES  - CASETA SALIDA TRAILERS</v>
      </c>
    </row>
    <row r="413" spans="2:6" ht="14.45" x14ac:dyDescent="0.35">
      <c r="B413" s="31" t="s">
        <v>1658</v>
      </c>
      <c r="C413" s="31" t="s">
        <v>1658</v>
      </c>
      <c r="D413" s="31" t="s">
        <v>1659</v>
      </c>
      <c r="E413" s="35">
        <f>LEN(Tabla1[[#This Row],[Partida]])</f>
        <v>1</v>
      </c>
      <c r="F413" s="35" t="str">
        <f>Tabla1[[#This Row],[Partida]]&amp;" : "&amp;Tabla1[[#This Row],[Descripción larga]]</f>
        <v>M : SANITARIOS EXTERIORES - CENTRO DISTRIBUCION</v>
      </c>
    </row>
    <row r="414" spans="2:6" ht="14.45" x14ac:dyDescent="0.35">
      <c r="B414" s="31" t="s">
        <v>1660</v>
      </c>
      <c r="C414" s="31" t="s">
        <v>1661</v>
      </c>
      <c r="D414" s="31" t="s">
        <v>1662</v>
      </c>
      <c r="E414" s="35">
        <f>LEN(Tabla1[[#This Row],[Partida]])</f>
        <v>4</v>
      </c>
      <c r="F414" s="35" t="str">
        <f>Tabla1[[#This Row],[Partida]]&amp;" : "&amp;Tabla1[[#This Row],[Descripción larga]]</f>
        <v>M-01 : CIMENTACION - SANITARIOS EXTERIORES</v>
      </c>
    </row>
    <row r="415" spans="2:6" ht="14.45" x14ac:dyDescent="0.35">
      <c r="B415" s="31" t="s">
        <v>1663</v>
      </c>
      <c r="C415" s="31" t="s">
        <v>1664</v>
      </c>
      <c r="D415" s="31" t="s">
        <v>1665</v>
      </c>
      <c r="E415" s="35">
        <f>LEN(Tabla1[[#This Row],[Partida]])</f>
        <v>7</v>
      </c>
      <c r="F415" s="35" t="str">
        <f>Tabla1[[#This Row],[Partida]]&amp;" : "&amp;Tabla1[[#This Row],[Descripción larga]]</f>
        <v>M-01-01 : MATERIALES, HERR Y EQ - CIMENTACION - SANITARIOS EXTERIORES</v>
      </c>
    </row>
    <row r="416" spans="2:6" ht="14.45" x14ac:dyDescent="0.35">
      <c r="B416" s="31" t="s">
        <v>1666</v>
      </c>
      <c r="C416" s="31" t="s">
        <v>1667</v>
      </c>
      <c r="D416" s="31" t="s">
        <v>1668</v>
      </c>
      <c r="E416" s="35">
        <f>LEN(Tabla1[[#This Row],[Partida]])</f>
        <v>7</v>
      </c>
      <c r="F416" s="35" t="str">
        <f>Tabla1[[#This Row],[Partida]]&amp;" : "&amp;Tabla1[[#This Row],[Descripción larga]]</f>
        <v>M-01-02 : MO - CIMENTACION - SANITARIOS EXTERIORES</v>
      </c>
    </row>
    <row r="417" spans="2:6" ht="14.45" x14ac:dyDescent="0.35">
      <c r="B417" s="31" t="s">
        <v>1669</v>
      </c>
      <c r="C417" s="31" t="s">
        <v>1670</v>
      </c>
      <c r="D417" s="31" t="s">
        <v>1671</v>
      </c>
      <c r="E417" s="35">
        <f>LEN(Tabla1[[#This Row],[Partida]])</f>
        <v>7</v>
      </c>
      <c r="F417" s="35" t="str">
        <f>Tabla1[[#This Row],[Partida]]&amp;" : "&amp;Tabla1[[#This Row],[Descripción larga]]</f>
        <v>M-01-03 : SUBCONTRATOS - CIMENTACION - SANITARIOS EXTERIORES</v>
      </c>
    </row>
    <row r="418" spans="2:6" ht="14.45" x14ac:dyDescent="0.35">
      <c r="B418" s="31" t="s">
        <v>1672</v>
      </c>
      <c r="C418" s="31" t="s">
        <v>1673</v>
      </c>
      <c r="D418" s="31" t="s">
        <v>1674</v>
      </c>
      <c r="E418" s="35">
        <f>LEN(Tabla1[[#This Row],[Partida]])</f>
        <v>4</v>
      </c>
      <c r="F418" s="35" t="str">
        <f>Tabla1[[#This Row],[Partida]]&amp;" : "&amp;Tabla1[[#This Row],[Descripción larga]]</f>
        <v>M-02 : PISOS - SANITARIOS EXTERIORES</v>
      </c>
    </row>
    <row r="419" spans="2:6" ht="14.45" x14ac:dyDescent="0.35">
      <c r="B419" s="31" t="s">
        <v>1675</v>
      </c>
      <c r="C419" s="31" t="s">
        <v>1676</v>
      </c>
      <c r="D419" s="31" t="s">
        <v>1677</v>
      </c>
      <c r="E419" s="35">
        <f>LEN(Tabla1[[#This Row],[Partida]])</f>
        <v>7</v>
      </c>
      <c r="F419" s="35" t="str">
        <f>Tabla1[[#This Row],[Partida]]&amp;" : "&amp;Tabla1[[#This Row],[Descripción larga]]</f>
        <v>M-02-01 : MATERIALES, HERR Y EQ - PISOS - SANITARIOS EXTERIORES</v>
      </c>
    </row>
    <row r="420" spans="2:6" ht="14.45" x14ac:dyDescent="0.35">
      <c r="B420" s="31" t="s">
        <v>1678</v>
      </c>
      <c r="C420" s="31" t="s">
        <v>1679</v>
      </c>
      <c r="D420" s="31" t="s">
        <v>1680</v>
      </c>
      <c r="E420" s="35">
        <f>LEN(Tabla1[[#This Row],[Partida]])</f>
        <v>7</v>
      </c>
      <c r="F420" s="35" t="str">
        <f>Tabla1[[#This Row],[Partida]]&amp;" : "&amp;Tabla1[[#This Row],[Descripción larga]]</f>
        <v>M-02-02 : MO - PISOS - SANITARIOS EXTERIORES</v>
      </c>
    </row>
    <row r="421" spans="2:6" ht="14.45" x14ac:dyDescent="0.35">
      <c r="B421" s="31" t="s">
        <v>1681</v>
      </c>
      <c r="C421" s="31" t="s">
        <v>1682</v>
      </c>
      <c r="D421" s="31" t="s">
        <v>1683</v>
      </c>
      <c r="E421" s="35">
        <f>LEN(Tabla1[[#This Row],[Partida]])</f>
        <v>7</v>
      </c>
      <c r="F421" s="35" t="str">
        <f>Tabla1[[#This Row],[Partida]]&amp;" : "&amp;Tabla1[[#This Row],[Descripción larga]]</f>
        <v>M-02-03 : SERVICIOS PROFESIONALES - PISOS - SANITARIOS EXTERIORES</v>
      </c>
    </row>
    <row r="422" spans="2:6" ht="14.45" x14ac:dyDescent="0.35">
      <c r="B422" s="31" t="s">
        <v>1684</v>
      </c>
      <c r="C422" s="31" t="s">
        <v>1685</v>
      </c>
      <c r="D422" s="31" t="s">
        <v>1686</v>
      </c>
      <c r="E422" s="35">
        <f>LEN(Tabla1[[#This Row],[Partida]])</f>
        <v>4</v>
      </c>
      <c r="F422" s="35" t="str">
        <f>Tabla1[[#This Row],[Partida]]&amp;" : "&amp;Tabla1[[#This Row],[Descripción larga]]</f>
        <v>M-03 : PLAFONES - SANITARIOS EXTERIORES</v>
      </c>
    </row>
    <row r="423" spans="2:6" ht="14.45" x14ac:dyDescent="0.35">
      <c r="B423" s="31" t="s">
        <v>1687</v>
      </c>
      <c r="C423" s="31" t="s">
        <v>1688</v>
      </c>
      <c r="D423" s="31" t="s">
        <v>1689</v>
      </c>
      <c r="E423" s="35">
        <f>LEN(Tabla1[[#This Row],[Partida]])</f>
        <v>7</v>
      </c>
      <c r="F423" s="35" t="str">
        <f>Tabla1[[#This Row],[Partida]]&amp;" : "&amp;Tabla1[[#This Row],[Descripción larga]]</f>
        <v>M-03-01 : SUBCONTRATOS - PLAFONES - SANITARIOS EXTERIORES</v>
      </c>
    </row>
    <row r="424" spans="2:6" ht="14.45" x14ac:dyDescent="0.35">
      <c r="B424" s="31" t="s">
        <v>1690</v>
      </c>
      <c r="C424" s="31" t="s">
        <v>1691</v>
      </c>
      <c r="D424" s="31" t="s">
        <v>1692</v>
      </c>
      <c r="E424" s="35">
        <f>LEN(Tabla1[[#This Row],[Partida]])</f>
        <v>4</v>
      </c>
      <c r="F424" s="35" t="str">
        <f>Tabla1[[#This Row],[Partida]]&amp;" : "&amp;Tabla1[[#This Row],[Descripción larga]]</f>
        <v>M-04 : ALBAÑILERIAS - SANITARIOS EXTERIORES</v>
      </c>
    </row>
    <row r="425" spans="2:6" ht="14.45" x14ac:dyDescent="0.35">
      <c r="B425" s="31" t="s">
        <v>1693</v>
      </c>
      <c r="C425" s="31" t="s">
        <v>1694</v>
      </c>
      <c r="D425" s="31" t="s">
        <v>1695</v>
      </c>
      <c r="E425" s="35">
        <f>LEN(Tabla1[[#This Row],[Partida]])</f>
        <v>7</v>
      </c>
      <c r="F425" s="35" t="str">
        <f>Tabla1[[#This Row],[Partida]]&amp;" : "&amp;Tabla1[[#This Row],[Descripción larga]]</f>
        <v>M-04-01 : MATERIALES, HERR Y EQ - ALBAÑILERIAS - SANITARIOS EXTERIORES</v>
      </c>
    </row>
    <row r="426" spans="2:6" ht="14.45" x14ac:dyDescent="0.35">
      <c r="B426" s="31" t="s">
        <v>1696</v>
      </c>
      <c r="C426" s="31" t="s">
        <v>1697</v>
      </c>
      <c r="D426" s="31" t="s">
        <v>1698</v>
      </c>
      <c r="E426" s="35">
        <f>LEN(Tabla1[[#This Row],[Partida]])</f>
        <v>7</v>
      </c>
      <c r="F426" s="35" t="str">
        <f>Tabla1[[#This Row],[Partida]]&amp;" : "&amp;Tabla1[[#This Row],[Descripción larga]]</f>
        <v>M-04-02 : MO - ALBAÑILERIAS - SANITARIOS EXTERIORES</v>
      </c>
    </row>
    <row r="427" spans="2:6" ht="14.45" x14ac:dyDescent="0.35">
      <c r="B427" s="31" t="s">
        <v>1699</v>
      </c>
      <c r="C427" s="31" t="s">
        <v>1700</v>
      </c>
      <c r="D427" s="31" t="s">
        <v>1701</v>
      </c>
      <c r="E427" s="35">
        <f>LEN(Tabla1[[#This Row],[Partida]])</f>
        <v>7</v>
      </c>
      <c r="F427" s="35" t="str">
        <f>Tabla1[[#This Row],[Partida]]&amp;" : "&amp;Tabla1[[#This Row],[Descripción larga]]</f>
        <v>M-04-03 : SUBCONTRATOS - ALBAÑILERIAS - SANITARIOS EXTERIORES</v>
      </c>
    </row>
    <row r="428" spans="2:6" ht="14.45" x14ac:dyDescent="0.35">
      <c r="B428" s="31" t="s">
        <v>1702</v>
      </c>
      <c r="C428" s="31" t="s">
        <v>1703</v>
      </c>
      <c r="D428" s="31" t="s">
        <v>1704</v>
      </c>
      <c r="E428" s="35">
        <f>LEN(Tabla1[[#This Row],[Partida]])</f>
        <v>4</v>
      </c>
      <c r="F428" s="35" t="str">
        <f>Tabla1[[#This Row],[Partida]]&amp;" : "&amp;Tabla1[[#This Row],[Descripción larga]]</f>
        <v>M-05 : ACABADOS - SANITARIOS EXTERIORES</v>
      </c>
    </row>
    <row r="429" spans="2:6" ht="14.45" x14ac:dyDescent="0.35">
      <c r="B429" s="31" t="s">
        <v>1705</v>
      </c>
      <c r="C429" s="31" t="s">
        <v>1706</v>
      </c>
      <c r="D429" s="31" t="s">
        <v>1707</v>
      </c>
      <c r="E429" s="35">
        <f>LEN(Tabla1[[#This Row],[Partida]])</f>
        <v>7</v>
      </c>
      <c r="F429" s="35" t="str">
        <f>Tabla1[[#This Row],[Partida]]&amp;" : "&amp;Tabla1[[#This Row],[Descripción larga]]</f>
        <v>M-05-01 : MATERIALES, HERR Y EQ - ACABADOS - SANITARIOS EXTERIORES</v>
      </c>
    </row>
    <row r="430" spans="2:6" ht="14.45" x14ac:dyDescent="0.35">
      <c r="B430" s="31" t="s">
        <v>1708</v>
      </c>
      <c r="C430" s="31" t="s">
        <v>1709</v>
      </c>
      <c r="D430" s="31" t="s">
        <v>1710</v>
      </c>
      <c r="E430" s="35">
        <f>LEN(Tabla1[[#This Row],[Partida]])</f>
        <v>7</v>
      </c>
      <c r="F430" s="35" t="str">
        <f>Tabla1[[#This Row],[Partida]]&amp;" : "&amp;Tabla1[[#This Row],[Descripción larga]]</f>
        <v>M-05-02 : MO - ACABADOS - SANITARIOS EXTERIORES</v>
      </c>
    </row>
    <row r="431" spans="2:6" ht="14.45" x14ac:dyDescent="0.35">
      <c r="B431" s="31" t="s">
        <v>1711</v>
      </c>
      <c r="C431" s="31" t="s">
        <v>1712</v>
      </c>
      <c r="D431" s="31" t="s">
        <v>1713</v>
      </c>
      <c r="E431" s="35">
        <f>LEN(Tabla1[[#This Row],[Partida]])</f>
        <v>7</v>
      </c>
      <c r="F431" s="35" t="str">
        <f>Tabla1[[#This Row],[Partida]]&amp;" : "&amp;Tabla1[[#This Row],[Descripción larga]]</f>
        <v>M-05-03 : SERVICIOS PROFESIONALES - ACABADOS - SANITARIOS EXTERIORES</v>
      </c>
    </row>
    <row r="432" spans="2:6" ht="14.45" x14ac:dyDescent="0.35">
      <c r="B432" s="31" t="s">
        <v>1714</v>
      </c>
      <c r="C432" s="31" t="s">
        <v>1715</v>
      </c>
      <c r="D432" s="31" t="s">
        <v>1716</v>
      </c>
      <c r="E432" s="35">
        <f>LEN(Tabla1[[#This Row],[Partida]])</f>
        <v>7</v>
      </c>
      <c r="F432" s="35" t="str">
        <f>Tabla1[[#This Row],[Partida]]&amp;" : "&amp;Tabla1[[#This Row],[Descripción larga]]</f>
        <v>M-05-04 : SUBCONTRATOS  - ACABADOS - SANITARIOS EXTERIORES</v>
      </c>
    </row>
    <row r="433" spans="2:6" ht="14.45" x14ac:dyDescent="0.35">
      <c r="B433" s="31" t="s">
        <v>1717</v>
      </c>
      <c r="C433" s="31" t="s">
        <v>1718</v>
      </c>
      <c r="D433" s="31" t="s">
        <v>1719</v>
      </c>
      <c r="E433" s="35">
        <f>LEN(Tabla1[[#This Row],[Partida]])</f>
        <v>4</v>
      </c>
      <c r="F433" s="35" t="str">
        <f>Tabla1[[#This Row],[Partida]]&amp;" : "&amp;Tabla1[[#This Row],[Descripción larga]]</f>
        <v>M-06 : ESTRUCTURA METALICA - SANITARIOS EXTERIORES</v>
      </c>
    </row>
    <row r="434" spans="2:6" ht="14.45" x14ac:dyDescent="0.35">
      <c r="B434" s="31" t="s">
        <v>1720</v>
      </c>
      <c r="C434" s="31" t="s">
        <v>1721</v>
      </c>
      <c r="D434" s="31" t="s">
        <v>1722</v>
      </c>
      <c r="E434" s="35">
        <f>LEN(Tabla1[[#This Row],[Partida]])</f>
        <v>7</v>
      </c>
      <c r="F434" s="35" t="str">
        <f>Tabla1[[#This Row],[Partida]]&amp;" : "&amp;Tabla1[[#This Row],[Descripción larga]]</f>
        <v>M-06-01 : SUBCONTRATOS - EM - SANITARIOS EXTERIORES</v>
      </c>
    </row>
    <row r="435" spans="2:6" ht="14.45" x14ac:dyDescent="0.35">
      <c r="B435" s="31" t="s">
        <v>1723</v>
      </c>
      <c r="C435" s="31" t="s">
        <v>1724</v>
      </c>
      <c r="D435" s="31" t="s">
        <v>1725</v>
      </c>
      <c r="E435" s="35">
        <f>LEN(Tabla1[[#This Row],[Partida]])</f>
        <v>4</v>
      </c>
      <c r="F435" s="35" t="str">
        <f>Tabla1[[#This Row],[Partida]]&amp;" : "&amp;Tabla1[[#This Row],[Descripción larga]]</f>
        <v>M-07 : TECHUMBRE O CUBIERTAS - SANITARIOS EXTERIORES</v>
      </c>
    </row>
    <row r="436" spans="2:6" ht="14.45" x14ac:dyDescent="0.35">
      <c r="B436" s="31" t="s">
        <v>1726</v>
      </c>
      <c r="C436" s="31" t="s">
        <v>1727</v>
      </c>
      <c r="D436" s="31" t="s">
        <v>1728</v>
      </c>
      <c r="E436" s="35">
        <f>LEN(Tabla1[[#This Row],[Partida]])</f>
        <v>7</v>
      </c>
      <c r="F436" s="35" t="str">
        <f>Tabla1[[#This Row],[Partida]]&amp;" : "&amp;Tabla1[[#This Row],[Descripción larga]]</f>
        <v>M-07-01 : SUBCONTRATOS - CUBIERTAS - SANITARIOS EXTERIORES</v>
      </c>
    </row>
    <row r="437" spans="2:6" ht="14.45" x14ac:dyDescent="0.35">
      <c r="B437" s="31" t="s">
        <v>1729</v>
      </c>
      <c r="C437" s="31" t="s">
        <v>1730</v>
      </c>
      <c r="D437" s="31" t="s">
        <v>1731</v>
      </c>
      <c r="E437" s="35">
        <f>LEN(Tabla1[[#This Row],[Partida]])</f>
        <v>4</v>
      </c>
      <c r="F437" s="35" t="str">
        <f>Tabla1[[#This Row],[Partida]]&amp;" : "&amp;Tabla1[[#This Row],[Descripción larga]]</f>
        <v>M-08 : LAMINA EN FACHADA - SANITARIOS EXTERIORES</v>
      </c>
    </row>
    <row r="438" spans="2:6" ht="14.45" x14ac:dyDescent="0.35">
      <c r="B438" s="31" t="s">
        <v>1732</v>
      </c>
      <c r="C438" s="31" t="s">
        <v>1733</v>
      </c>
      <c r="D438" s="31" t="s">
        <v>1734</v>
      </c>
      <c r="E438" s="35">
        <f>LEN(Tabla1[[#This Row],[Partida]])</f>
        <v>7</v>
      </c>
      <c r="F438" s="35" t="str">
        <f>Tabla1[[#This Row],[Partida]]&amp;" : "&amp;Tabla1[[#This Row],[Descripción larga]]</f>
        <v>M-08-01 : SUBCONTRATOS - LAMINA FACHADA - SANITARIOS EXTERIORES</v>
      </c>
    </row>
    <row r="439" spans="2:6" ht="14.45" x14ac:dyDescent="0.35">
      <c r="B439" s="31" t="s">
        <v>1735</v>
      </c>
      <c r="C439" s="31" t="s">
        <v>1736</v>
      </c>
      <c r="D439" s="31" t="s">
        <v>1737</v>
      </c>
      <c r="E439" s="35">
        <f>LEN(Tabla1[[#This Row],[Partida]])</f>
        <v>4</v>
      </c>
      <c r="F439" s="35" t="str">
        <f>Tabla1[[#This Row],[Partida]]&amp;" : "&amp;Tabla1[[#This Row],[Descripción larga]]</f>
        <v>M-09 : MUEBLES DE BAÑO - SANITARIOS EXTERIORES</v>
      </c>
    </row>
    <row r="440" spans="2:6" ht="14.45" x14ac:dyDescent="0.35">
      <c r="B440" s="31" t="s">
        <v>1738</v>
      </c>
      <c r="C440" s="31" t="s">
        <v>1739</v>
      </c>
      <c r="D440" s="31" t="s">
        <v>1740</v>
      </c>
      <c r="E440" s="35">
        <f>LEN(Tabla1[[#This Row],[Partida]])</f>
        <v>7</v>
      </c>
      <c r="F440" s="35" t="str">
        <f>Tabla1[[#This Row],[Partida]]&amp;" : "&amp;Tabla1[[#This Row],[Descripción larga]]</f>
        <v>M-09-01 : SUBCONTRATOS - MUEBLES DE BAÑO - SANITARIOS EXTERIORES</v>
      </c>
    </row>
    <row r="441" spans="2:6" ht="14.45" x14ac:dyDescent="0.35">
      <c r="B441" s="31" t="s">
        <v>1741</v>
      </c>
      <c r="C441" s="31" t="s">
        <v>1742</v>
      </c>
      <c r="D441" s="31" t="s">
        <v>1743</v>
      </c>
      <c r="E441" s="35">
        <f>LEN(Tabla1[[#This Row],[Partida]])</f>
        <v>4</v>
      </c>
      <c r="F441" s="35" t="str">
        <f>Tabla1[[#This Row],[Partida]]&amp;" : "&amp;Tabla1[[#This Row],[Descripción larga]]</f>
        <v>M-10 : INSTALACIONES - SANITARIOS EXTERIORES</v>
      </c>
    </row>
    <row r="442" spans="2:6" ht="14.45" x14ac:dyDescent="0.35">
      <c r="B442" s="31" t="s">
        <v>1744</v>
      </c>
      <c r="C442" s="31" t="s">
        <v>1745</v>
      </c>
      <c r="D442" s="31" t="s">
        <v>1746</v>
      </c>
      <c r="E442" s="35">
        <f>LEN(Tabla1[[#This Row],[Partida]])</f>
        <v>7</v>
      </c>
      <c r="F442" s="35" t="str">
        <f>Tabla1[[#This Row],[Partida]]&amp;" : "&amp;Tabla1[[#This Row],[Descripción larga]]</f>
        <v>M-10-01 : SERVICIOS PROFESIONALES - INSTALACIONES - SANITARIOS EXTERIORES</v>
      </c>
    </row>
    <row r="443" spans="2:6" ht="14.45" x14ac:dyDescent="0.35">
      <c r="B443" s="31" t="s">
        <v>1747</v>
      </c>
      <c r="C443" s="31" t="s">
        <v>1748</v>
      </c>
      <c r="D443" s="31" t="s">
        <v>1749</v>
      </c>
      <c r="E443" s="35">
        <f>LEN(Tabla1[[#This Row],[Partida]])</f>
        <v>7</v>
      </c>
      <c r="F443" s="35" t="str">
        <f>Tabla1[[#This Row],[Partida]]&amp;" : "&amp;Tabla1[[#This Row],[Descripción larga]]</f>
        <v>M-10-02 : SUBCONTRATOS - INSTALACIONES - SANITARIOS EXTERIORES</v>
      </c>
    </row>
    <row r="444" spans="2:6" ht="14.45" x14ac:dyDescent="0.35">
      <c r="B444" s="31" t="s">
        <v>1750</v>
      </c>
      <c r="C444" s="31" t="s">
        <v>1750</v>
      </c>
      <c r="D444" s="31" t="s">
        <v>1751</v>
      </c>
      <c r="E444" s="35">
        <f>LEN(Tabla1[[#This Row],[Partida]])</f>
        <v>1</v>
      </c>
      <c r="F444" s="35" t="str">
        <f>Tabla1[[#This Row],[Partida]]&amp;" : "&amp;Tabla1[[#This Row],[Descripción larga]]</f>
        <v>N : CUARTO RESIDUO PELIGROSOS - CENTRO DISTRIBUCION</v>
      </c>
    </row>
    <row r="445" spans="2:6" ht="14.45" x14ac:dyDescent="0.35">
      <c r="B445" s="31" t="s">
        <v>1752</v>
      </c>
      <c r="C445" s="31" t="s">
        <v>1753</v>
      </c>
      <c r="D445" s="31" t="s">
        <v>1754</v>
      </c>
      <c r="E445" s="35">
        <f>LEN(Tabla1[[#This Row],[Partida]])</f>
        <v>4</v>
      </c>
      <c r="F445" s="35" t="str">
        <f>Tabla1[[#This Row],[Partida]]&amp;" : "&amp;Tabla1[[#This Row],[Descripción larga]]</f>
        <v>N-01 : CIMENTACION - CTO RESIDUO PELIGROSOS</v>
      </c>
    </row>
    <row r="446" spans="2:6" ht="14.45" x14ac:dyDescent="0.35">
      <c r="B446" s="31" t="s">
        <v>1755</v>
      </c>
      <c r="C446" s="31" t="s">
        <v>1756</v>
      </c>
      <c r="D446" s="31" t="s">
        <v>1757</v>
      </c>
      <c r="E446" s="35">
        <f>LEN(Tabla1[[#This Row],[Partida]])</f>
        <v>7</v>
      </c>
      <c r="F446" s="35" t="str">
        <f>Tabla1[[#This Row],[Partida]]&amp;" : "&amp;Tabla1[[#This Row],[Descripción larga]]</f>
        <v>N-01-01 : MATERIALES, HERR Y EQ - CIMENTACION - CTO RESIDUO PELIGROSOS</v>
      </c>
    </row>
    <row r="447" spans="2:6" ht="14.45" x14ac:dyDescent="0.35">
      <c r="B447" s="31" t="s">
        <v>1758</v>
      </c>
      <c r="C447" s="31" t="s">
        <v>1759</v>
      </c>
      <c r="D447" s="31" t="s">
        <v>1760</v>
      </c>
      <c r="E447" s="35">
        <f>LEN(Tabla1[[#This Row],[Partida]])</f>
        <v>7</v>
      </c>
      <c r="F447" s="35" t="str">
        <f>Tabla1[[#This Row],[Partida]]&amp;" : "&amp;Tabla1[[#This Row],[Descripción larga]]</f>
        <v>N-01-02 : MO - CIMENTACION - CTO RESIDUO PELIGROSOS</v>
      </c>
    </row>
    <row r="448" spans="2:6" ht="14.45" x14ac:dyDescent="0.35">
      <c r="B448" s="31" t="s">
        <v>1761</v>
      </c>
      <c r="C448" s="31" t="s">
        <v>1762</v>
      </c>
      <c r="D448" s="31" t="s">
        <v>1763</v>
      </c>
      <c r="E448" s="35">
        <f>LEN(Tabla1[[#This Row],[Partida]])</f>
        <v>7</v>
      </c>
      <c r="F448" s="35" t="str">
        <f>Tabla1[[#This Row],[Partida]]&amp;" : "&amp;Tabla1[[#This Row],[Descripción larga]]</f>
        <v>N-01-03 : SUBCONTRATOS - CIMENTACION - CTO RESIDUO PELIGROSOS</v>
      </c>
    </row>
    <row r="449" spans="2:6" ht="14.45" x14ac:dyDescent="0.35">
      <c r="B449" s="31" t="s">
        <v>1764</v>
      </c>
      <c r="C449" s="31" t="s">
        <v>1765</v>
      </c>
      <c r="D449" s="31" t="s">
        <v>1766</v>
      </c>
      <c r="E449" s="35">
        <f>LEN(Tabla1[[#This Row],[Partida]])</f>
        <v>4</v>
      </c>
      <c r="F449" s="35" t="str">
        <f>Tabla1[[#This Row],[Partida]]&amp;" : "&amp;Tabla1[[#This Row],[Descripción larga]]</f>
        <v>N-02 : PISOS - CTO RESIDUO PELIGROSOS</v>
      </c>
    </row>
    <row r="450" spans="2:6" ht="14.45" x14ac:dyDescent="0.35">
      <c r="B450" s="31" t="s">
        <v>1767</v>
      </c>
      <c r="C450" s="31" t="s">
        <v>1768</v>
      </c>
      <c r="D450" s="31" t="s">
        <v>1769</v>
      </c>
      <c r="E450" s="35">
        <f>LEN(Tabla1[[#This Row],[Partida]])</f>
        <v>7</v>
      </c>
      <c r="F450" s="35" t="str">
        <f>Tabla1[[#This Row],[Partida]]&amp;" : "&amp;Tabla1[[#This Row],[Descripción larga]]</f>
        <v>N-02-01 : MATERIALES, HERR Y EQ - PISOS - CTO RESIDUO PELIGROSOS</v>
      </c>
    </row>
    <row r="451" spans="2:6" ht="14.45" x14ac:dyDescent="0.35">
      <c r="B451" s="31" t="s">
        <v>1770</v>
      </c>
      <c r="C451" s="31" t="s">
        <v>1771</v>
      </c>
      <c r="D451" s="31" t="s">
        <v>1772</v>
      </c>
      <c r="E451" s="35">
        <f>LEN(Tabla1[[#This Row],[Partida]])</f>
        <v>7</v>
      </c>
      <c r="F451" s="35" t="str">
        <f>Tabla1[[#This Row],[Partida]]&amp;" : "&amp;Tabla1[[#This Row],[Descripción larga]]</f>
        <v>N-02-02 : MO - PISOS - CTO RESIDUO PELIGROSOS</v>
      </c>
    </row>
    <row r="452" spans="2:6" ht="14.45" x14ac:dyDescent="0.35">
      <c r="B452" s="31" t="s">
        <v>1773</v>
      </c>
      <c r="C452" s="31" t="s">
        <v>1774</v>
      </c>
      <c r="D452" s="31" t="s">
        <v>1775</v>
      </c>
      <c r="E452" s="35">
        <f>LEN(Tabla1[[#This Row],[Partida]])</f>
        <v>7</v>
      </c>
      <c r="F452" s="35" t="str">
        <f>Tabla1[[#This Row],[Partida]]&amp;" : "&amp;Tabla1[[#This Row],[Descripción larga]]</f>
        <v>N-02-03 : SERVICIOS PROFESIONALES - PISOS - CTO RESIDUO PELIGROSOS</v>
      </c>
    </row>
    <row r="453" spans="2:6" ht="14.45" x14ac:dyDescent="0.35">
      <c r="B453" s="31" t="s">
        <v>1776</v>
      </c>
      <c r="C453" s="31" t="s">
        <v>1777</v>
      </c>
      <c r="D453" s="31" t="s">
        <v>1778</v>
      </c>
      <c r="E453" s="35">
        <f>LEN(Tabla1[[#This Row],[Partida]])</f>
        <v>4</v>
      </c>
      <c r="F453" s="35" t="str">
        <f>Tabla1[[#This Row],[Partida]]&amp;" : "&amp;Tabla1[[#This Row],[Descripción larga]]</f>
        <v>N-03 : ALBAÑILERIAS - CTO RESIDUO PELIGROSOS</v>
      </c>
    </row>
    <row r="454" spans="2:6" ht="14.45" x14ac:dyDescent="0.35">
      <c r="B454" s="31" t="s">
        <v>1779</v>
      </c>
      <c r="C454" s="31" t="s">
        <v>1780</v>
      </c>
      <c r="D454" s="31" t="s">
        <v>1781</v>
      </c>
      <c r="E454" s="35">
        <f>LEN(Tabla1[[#This Row],[Partida]])</f>
        <v>7</v>
      </c>
      <c r="F454" s="35" t="str">
        <f>Tabla1[[#This Row],[Partida]]&amp;" : "&amp;Tabla1[[#This Row],[Descripción larga]]</f>
        <v>N-03-01 : MATERIALES, HERR Y EQ - ALBAÑILERIAS - CTO RESIDUO PELIGROSOS</v>
      </c>
    </row>
    <row r="455" spans="2:6" ht="14.45" x14ac:dyDescent="0.35">
      <c r="B455" s="31" t="s">
        <v>1782</v>
      </c>
      <c r="C455" s="31" t="s">
        <v>1783</v>
      </c>
      <c r="D455" s="31" t="s">
        <v>1784</v>
      </c>
      <c r="E455" s="35">
        <f>LEN(Tabla1[[#This Row],[Partida]])</f>
        <v>7</v>
      </c>
      <c r="F455" s="35" t="str">
        <f>Tabla1[[#This Row],[Partida]]&amp;" : "&amp;Tabla1[[#This Row],[Descripción larga]]</f>
        <v>N-03-02 : MO - ALBAÑILERIAS - CTO RESIDUO PELIGROSOS</v>
      </c>
    </row>
    <row r="456" spans="2:6" ht="14.45" x14ac:dyDescent="0.35">
      <c r="B456" s="31" t="s">
        <v>1785</v>
      </c>
      <c r="C456" s="31" t="s">
        <v>1786</v>
      </c>
      <c r="D456" s="31" t="s">
        <v>1787</v>
      </c>
      <c r="E456" s="35">
        <f>LEN(Tabla1[[#This Row],[Partida]])</f>
        <v>7</v>
      </c>
      <c r="F456" s="35" t="str">
        <f>Tabla1[[#This Row],[Partida]]&amp;" : "&amp;Tabla1[[#This Row],[Descripción larga]]</f>
        <v>N-03-03 : SUBCONTRATOS - ALBAÑILERIAS - CTO RESIDUO PELIGROSOS</v>
      </c>
    </row>
    <row r="457" spans="2:6" ht="14.45" x14ac:dyDescent="0.35">
      <c r="B457" s="31" t="s">
        <v>1788</v>
      </c>
      <c r="C457" s="31" t="s">
        <v>1789</v>
      </c>
      <c r="D457" s="31" t="s">
        <v>1790</v>
      </c>
      <c r="E457" s="35">
        <f>LEN(Tabla1[[#This Row],[Partida]])</f>
        <v>4</v>
      </c>
      <c r="F457" s="35" t="str">
        <f>Tabla1[[#This Row],[Partida]]&amp;" : "&amp;Tabla1[[#This Row],[Descripción larga]]</f>
        <v>N-04 : ACABADOS - CTO RESIDUO PELIGROSOS</v>
      </c>
    </row>
    <row r="458" spans="2:6" ht="14.45" x14ac:dyDescent="0.35">
      <c r="B458" s="31" t="s">
        <v>1791</v>
      </c>
      <c r="C458" s="31" t="s">
        <v>1792</v>
      </c>
      <c r="D458" s="31" t="s">
        <v>1793</v>
      </c>
      <c r="E458" s="35">
        <f>LEN(Tabla1[[#This Row],[Partida]])</f>
        <v>7</v>
      </c>
      <c r="F458" s="35" t="str">
        <f>Tabla1[[#This Row],[Partida]]&amp;" : "&amp;Tabla1[[#This Row],[Descripción larga]]</f>
        <v>N-04-01 : SERVICIOS PROFESIONALES - ACABADOS - CTO RESIDUO PELIGROSOS</v>
      </c>
    </row>
    <row r="459" spans="2:6" ht="14.45" x14ac:dyDescent="0.35">
      <c r="B459" s="31" t="s">
        <v>1794</v>
      </c>
      <c r="C459" s="31" t="s">
        <v>1795</v>
      </c>
      <c r="D459" s="31" t="s">
        <v>1796</v>
      </c>
      <c r="E459" s="35">
        <f>LEN(Tabla1[[#This Row],[Partida]])</f>
        <v>7</v>
      </c>
      <c r="F459" s="35" t="str">
        <f>Tabla1[[#This Row],[Partida]]&amp;" : "&amp;Tabla1[[#This Row],[Descripción larga]]</f>
        <v>N-04-02 : SUBCONTRATOS - ACABADOS - CTO RESIDUO PELIGROSOS</v>
      </c>
    </row>
    <row r="460" spans="2:6" ht="14.45" x14ac:dyDescent="0.35">
      <c r="B460" s="31" t="s">
        <v>1797</v>
      </c>
      <c r="C460" s="31" t="s">
        <v>1798</v>
      </c>
      <c r="D460" s="31" t="s">
        <v>1799</v>
      </c>
      <c r="E460" s="35">
        <f>LEN(Tabla1[[#This Row],[Partida]])</f>
        <v>4</v>
      </c>
      <c r="F460" s="35" t="str">
        <f>Tabla1[[#This Row],[Partida]]&amp;" : "&amp;Tabla1[[#This Row],[Descripción larga]]</f>
        <v>N-05 : ESTRUCTURA METALICA - CTO RESIDUO PELIGROSOS</v>
      </c>
    </row>
    <row r="461" spans="2:6" ht="14.45" x14ac:dyDescent="0.35">
      <c r="B461" s="31" t="s">
        <v>1800</v>
      </c>
      <c r="C461" s="31" t="s">
        <v>1801</v>
      </c>
      <c r="D461" s="31" t="s">
        <v>1802</v>
      </c>
      <c r="E461" s="35">
        <f>LEN(Tabla1[[#This Row],[Partida]])</f>
        <v>7</v>
      </c>
      <c r="F461" s="35" t="str">
        <f>Tabla1[[#This Row],[Partida]]&amp;" : "&amp;Tabla1[[#This Row],[Descripción larga]]</f>
        <v>N-05-01 : SUBCONTRATOS - EM - CTO RESIDUO PELIGROSOS</v>
      </c>
    </row>
    <row r="462" spans="2:6" ht="14.45" x14ac:dyDescent="0.35">
      <c r="B462" s="31" t="s">
        <v>1803</v>
      </c>
      <c r="C462" s="31" t="s">
        <v>1804</v>
      </c>
      <c r="D462" s="31" t="s">
        <v>1805</v>
      </c>
      <c r="E462" s="35">
        <f>LEN(Tabla1[[#This Row],[Partida]])</f>
        <v>4</v>
      </c>
      <c r="F462" s="35" t="str">
        <f>Tabla1[[#This Row],[Partida]]&amp;" : "&amp;Tabla1[[#This Row],[Descripción larga]]</f>
        <v>N-06 : TECHUMBRE O CUBIERTAS - CTO RESIDUO PELIGROSOS</v>
      </c>
    </row>
    <row r="463" spans="2:6" ht="14.45" x14ac:dyDescent="0.35">
      <c r="B463" s="31" t="s">
        <v>1806</v>
      </c>
      <c r="C463" s="31" t="s">
        <v>1807</v>
      </c>
      <c r="D463" s="31" t="s">
        <v>1808</v>
      </c>
      <c r="E463" s="35">
        <f>LEN(Tabla1[[#This Row],[Partida]])</f>
        <v>7</v>
      </c>
      <c r="F463" s="35" t="str">
        <f>Tabla1[[#This Row],[Partida]]&amp;" : "&amp;Tabla1[[#This Row],[Descripción larga]]</f>
        <v>N-06-01 : SUBCONTRATOS - CUBIERTAS - CTO RESIDUO PELIGROSOS</v>
      </c>
    </row>
    <row r="464" spans="2:6" ht="14.45" x14ac:dyDescent="0.35">
      <c r="B464" s="31" t="s">
        <v>1809</v>
      </c>
      <c r="C464" s="31" t="s">
        <v>1810</v>
      </c>
      <c r="D464" s="31" t="s">
        <v>1811</v>
      </c>
      <c r="E464" s="35">
        <f>LEN(Tabla1[[#This Row],[Partida]])</f>
        <v>4</v>
      </c>
      <c r="F464" s="35" t="str">
        <f>Tabla1[[#This Row],[Partida]]&amp;" : "&amp;Tabla1[[#This Row],[Descripción larga]]</f>
        <v>N-07 : LAMINA EN FACHADA - CTO RESIDUO PELIGROSOS</v>
      </c>
    </row>
    <row r="465" spans="2:6" ht="14.45" x14ac:dyDescent="0.35">
      <c r="B465" s="31" t="s">
        <v>1812</v>
      </c>
      <c r="C465" s="31" t="s">
        <v>1813</v>
      </c>
      <c r="D465" s="31" t="s">
        <v>1814</v>
      </c>
      <c r="E465" s="35">
        <f>LEN(Tabla1[[#This Row],[Partida]])</f>
        <v>7</v>
      </c>
      <c r="F465" s="35" t="str">
        <f>Tabla1[[#This Row],[Partida]]&amp;" : "&amp;Tabla1[[#This Row],[Descripción larga]]</f>
        <v>N-07-01 : SUBCONTRATOS - LAMINA FACHADA - CTO RESIDUO PELIGROSOS</v>
      </c>
    </row>
    <row r="466" spans="2:6" ht="14.45" x14ac:dyDescent="0.35">
      <c r="B466" s="31" t="s">
        <v>1815</v>
      </c>
      <c r="C466" s="31" t="s">
        <v>1816</v>
      </c>
      <c r="D466" s="31" t="s">
        <v>1817</v>
      </c>
      <c r="E466" s="35">
        <f>LEN(Tabla1[[#This Row],[Partida]])</f>
        <v>4</v>
      </c>
      <c r="F466" s="35" t="str">
        <f>Tabla1[[#This Row],[Partida]]&amp;" : "&amp;Tabla1[[#This Row],[Descripción larga]]</f>
        <v>N-08 : INSTALACIONES - CTO RESIDUO PELIGROSOS</v>
      </c>
    </row>
    <row r="467" spans="2:6" ht="14.45" x14ac:dyDescent="0.35">
      <c r="B467" s="31" t="s">
        <v>1818</v>
      </c>
      <c r="C467" s="31" t="s">
        <v>1819</v>
      </c>
      <c r="D467" s="31" t="s">
        <v>1820</v>
      </c>
      <c r="E467" s="35">
        <f>LEN(Tabla1[[#This Row],[Partida]])</f>
        <v>7</v>
      </c>
      <c r="F467" s="35" t="str">
        <f>Tabla1[[#This Row],[Partida]]&amp;" : "&amp;Tabla1[[#This Row],[Descripción larga]]</f>
        <v>N-08-01 : SERVICIOS PROFESIONALES - INSTALACIONES - CTO RESIDUO PELIGROSOS</v>
      </c>
    </row>
    <row r="468" spans="2:6" ht="14.45" x14ac:dyDescent="0.35">
      <c r="B468" s="31" t="s">
        <v>1821</v>
      </c>
      <c r="C468" s="31" t="s">
        <v>1822</v>
      </c>
      <c r="D468" s="31" t="s">
        <v>1823</v>
      </c>
      <c r="E468" s="35">
        <f>LEN(Tabla1[[#This Row],[Partida]])</f>
        <v>7</v>
      </c>
      <c r="F468" s="35" t="str">
        <f>Tabla1[[#This Row],[Partida]]&amp;" : "&amp;Tabla1[[#This Row],[Descripción larga]]</f>
        <v>N-08-02 : SUBCONTRATOS - INSTALACIONES - CTO RESIDUO PELIGROSOS</v>
      </c>
    </row>
    <row r="469" spans="2:6" ht="14.45" x14ac:dyDescent="0.35">
      <c r="B469" s="31" t="s">
        <v>1824</v>
      </c>
      <c r="C469" s="31" t="s">
        <v>1824</v>
      </c>
      <c r="D469" s="31" t="s">
        <v>1825</v>
      </c>
      <c r="E469" s="35">
        <f>LEN(Tabla1[[#This Row],[Partida]])</f>
        <v>1</v>
      </c>
      <c r="F469" s="35" t="str">
        <f>Tabla1[[#This Row],[Partida]]&amp;" : "&amp;Tabla1[[#This Row],[Descripción larga]]</f>
        <v>O : CUARTO BOMBAS - CENTRO DISTRIBUCION</v>
      </c>
    </row>
    <row r="470" spans="2:6" ht="14.45" x14ac:dyDescent="0.35">
      <c r="B470" s="31" t="s">
        <v>1826</v>
      </c>
      <c r="C470" s="31" t="s">
        <v>1827</v>
      </c>
      <c r="D470" s="31" t="s">
        <v>1828</v>
      </c>
      <c r="E470" s="35">
        <f>LEN(Tabla1[[#This Row],[Partida]])</f>
        <v>4</v>
      </c>
      <c r="F470" s="35" t="str">
        <f>Tabla1[[#This Row],[Partida]]&amp;" : "&amp;Tabla1[[#This Row],[Descripción larga]]</f>
        <v>O-01 : CIMENTACION  - CTO DE BOMBAS</v>
      </c>
    </row>
    <row r="471" spans="2:6" ht="14.45" x14ac:dyDescent="0.35">
      <c r="B471" s="31" t="s">
        <v>1829</v>
      </c>
      <c r="C471" s="31" t="s">
        <v>1830</v>
      </c>
      <c r="D471" s="31" t="s">
        <v>1831</v>
      </c>
      <c r="E471" s="35">
        <f>LEN(Tabla1[[#This Row],[Partida]])</f>
        <v>7</v>
      </c>
      <c r="F471" s="35" t="str">
        <f>Tabla1[[#This Row],[Partida]]&amp;" : "&amp;Tabla1[[#This Row],[Descripción larga]]</f>
        <v>O-01-01 : MATERIALES, HERR Y EQ - CIMENTACION  - CTO DE BOMBAS</v>
      </c>
    </row>
    <row r="472" spans="2:6" ht="14.45" x14ac:dyDescent="0.35">
      <c r="B472" s="31" t="s">
        <v>1832</v>
      </c>
      <c r="C472" s="31" t="s">
        <v>1833</v>
      </c>
      <c r="D472" s="31" t="s">
        <v>1834</v>
      </c>
      <c r="E472" s="35">
        <f>LEN(Tabla1[[#This Row],[Partida]])</f>
        <v>7</v>
      </c>
      <c r="F472" s="35" t="str">
        <f>Tabla1[[#This Row],[Partida]]&amp;" : "&amp;Tabla1[[#This Row],[Descripción larga]]</f>
        <v>O-01-02 : MO - CIMENTACION  - CTO DE BOMBAS</v>
      </c>
    </row>
    <row r="473" spans="2:6" ht="14.45" x14ac:dyDescent="0.35">
      <c r="B473" s="31" t="s">
        <v>1835</v>
      </c>
      <c r="C473" s="31" t="s">
        <v>1836</v>
      </c>
      <c r="D473" s="31" t="s">
        <v>1837</v>
      </c>
      <c r="E473" s="35">
        <f>LEN(Tabla1[[#This Row],[Partida]])</f>
        <v>7</v>
      </c>
      <c r="F473" s="35" t="str">
        <f>Tabla1[[#This Row],[Partida]]&amp;" : "&amp;Tabla1[[#This Row],[Descripción larga]]</f>
        <v>O-01-03 : SUBCONTRATOS - CIMENTACION  - CTO DE BOMBAS</v>
      </c>
    </row>
    <row r="474" spans="2:6" ht="14.45" x14ac:dyDescent="0.35">
      <c r="B474" s="31" t="s">
        <v>1838</v>
      </c>
      <c r="C474" s="31" t="s">
        <v>1839</v>
      </c>
      <c r="D474" s="31" t="s">
        <v>1840</v>
      </c>
      <c r="E474" s="35">
        <f>LEN(Tabla1[[#This Row],[Partida]])</f>
        <v>4</v>
      </c>
      <c r="F474" s="35" t="str">
        <f>Tabla1[[#This Row],[Partida]]&amp;" : "&amp;Tabla1[[#This Row],[Descripción larga]]</f>
        <v>O-02 : PISOS - CTO DE BOMBAS</v>
      </c>
    </row>
    <row r="475" spans="2:6" ht="14.45" x14ac:dyDescent="0.35">
      <c r="B475" s="31" t="s">
        <v>1841</v>
      </c>
      <c r="C475" s="31" t="s">
        <v>1842</v>
      </c>
      <c r="D475" s="31" t="s">
        <v>1843</v>
      </c>
      <c r="E475" s="35">
        <f>LEN(Tabla1[[#This Row],[Partida]])</f>
        <v>7</v>
      </c>
      <c r="F475" s="35" t="str">
        <f>Tabla1[[#This Row],[Partida]]&amp;" : "&amp;Tabla1[[#This Row],[Descripción larga]]</f>
        <v>O-02-01 : MATERIALES, HERR Y EQ - PISOS - CTO DE BOMBAS</v>
      </c>
    </row>
    <row r="476" spans="2:6" ht="14.45" x14ac:dyDescent="0.35">
      <c r="B476" s="31" t="s">
        <v>1844</v>
      </c>
      <c r="C476" s="31" t="s">
        <v>1845</v>
      </c>
      <c r="D476" s="31" t="s">
        <v>1846</v>
      </c>
      <c r="E476" s="35">
        <f>LEN(Tabla1[[#This Row],[Partida]])</f>
        <v>7</v>
      </c>
      <c r="F476" s="35" t="str">
        <f>Tabla1[[#This Row],[Partida]]&amp;" : "&amp;Tabla1[[#This Row],[Descripción larga]]</f>
        <v>O-02-02 : MO - PISOS - CTO DE BOMBAS</v>
      </c>
    </row>
    <row r="477" spans="2:6" ht="14.45" x14ac:dyDescent="0.35">
      <c r="B477" s="31" t="s">
        <v>1847</v>
      </c>
      <c r="C477" s="31" t="s">
        <v>1848</v>
      </c>
      <c r="D477" s="31" t="s">
        <v>1849</v>
      </c>
      <c r="E477" s="35">
        <f>LEN(Tabla1[[#This Row],[Partida]])</f>
        <v>7</v>
      </c>
      <c r="F477" s="35" t="str">
        <f>Tabla1[[#This Row],[Partida]]&amp;" : "&amp;Tabla1[[#This Row],[Descripción larga]]</f>
        <v>O-02-03 : SERVICIOS PROFESIONALES - PISOS - CTO DE BOMBAS</v>
      </c>
    </row>
    <row r="478" spans="2:6" ht="14.45" x14ac:dyDescent="0.35">
      <c r="B478" s="31" t="s">
        <v>1850</v>
      </c>
      <c r="C478" s="31" t="s">
        <v>1851</v>
      </c>
      <c r="D478" s="31" t="s">
        <v>1852</v>
      </c>
      <c r="E478" s="35">
        <f>LEN(Tabla1[[#This Row],[Partida]])</f>
        <v>4</v>
      </c>
      <c r="F478" s="35" t="str">
        <f>Tabla1[[#This Row],[Partida]]&amp;" : "&amp;Tabla1[[#This Row],[Descripción larga]]</f>
        <v>O-03 : ALBAÑILERIAS - CTO DE BOMBAS</v>
      </c>
    </row>
    <row r="479" spans="2:6" ht="14.45" x14ac:dyDescent="0.35">
      <c r="B479" s="31" t="s">
        <v>1853</v>
      </c>
      <c r="C479" s="31" t="s">
        <v>1854</v>
      </c>
      <c r="D479" s="31" t="s">
        <v>1855</v>
      </c>
      <c r="E479" s="35">
        <f>LEN(Tabla1[[#This Row],[Partida]])</f>
        <v>7</v>
      </c>
      <c r="F479" s="35" t="str">
        <f>Tabla1[[#This Row],[Partida]]&amp;" : "&amp;Tabla1[[#This Row],[Descripción larga]]</f>
        <v>O-03-01 : MATERIALES, HERR Y EQ - ALBAÑILERIAS - CTO DE BOMBAS</v>
      </c>
    </row>
    <row r="480" spans="2:6" ht="14.45" x14ac:dyDescent="0.35">
      <c r="B480" s="31" t="s">
        <v>1856</v>
      </c>
      <c r="C480" s="31" t="s">
        <v>1857</v>
      </c>
      <c r="D480" s="31" t="s">
        <v>1858</v>
      </c>
      <c r="E480" s="35">
        <f>LEN(Tabla1[[#This Row],[Partida]])</f>
        <v>7</v>
      </c>
      <c r="F480" s="35" t="str">
        <f>Tabla1[[#This Row],[Partida]]&amp;" : "&amp;Tabla1[[#This Row],[Descripción larga]]</f>
        <v>O-03-02 : MO - ALBAÑILERIAS - CTO DE BOMBAS</v>
      </c>
    </row>
    <row r="481" spans="2:6" ht="14.45" x14ac:dyDescent="0.35">
      <c r="B481" s="31" t="s">
        <v>1859</v>
      </c>
      <c r="C481" s="31" t="s">
        <v>1860</v>
      </c>
      <c r="D481" s="31" t="s">
        <v>1861</v>
      </c>
      <c r="E481" s="35">
        <f>LEN(Tabla1[[#This Row],[Partida]])</f>
        <v>7</v>
      </c>
      <c r="F481" s="35" t="str">
        <f>Tabla1[[#This Row],[Partida]]&amp;" : "&amp;Tabla1[[#This Row],[Descripción larga]]</f>
        <v>O-03-03 : SUBCONTRATOS - ALBAÑILERIAS - CTO DE BOMBAS</v>
      </c>
    </row>
    <row r="482" spans="2:6" ht="14.45" x14ac:dyDescent="0.35">
      <c r="B482" s="31" t="s">
        <v>1862</v>
      </c>
      <c r="C482" s="31" t="s">
        <v>1863</v>
      </c>
      <c r="D482" s="31" t="s">
        <v>1864</v>
      </c>
      <c r="E482" s="35">
        <f>LEN(Tabla1[[#This Row],[Partida]])</f>
        <v>4</v>
      </c>
      <c r="F482" s="35" t="str">
        <f>Tabla1[[#This Row],[Partida]]&amp;" : "&amp;Tabla1[[#This Row],[Descripción larga]]</f>
        <v>O-04 : ACABADOS - CTO DE BOMBAS</v>
      </c>
    </row>
    <row r="483" spans="2:6" ht="14.45" x14ac:dyDescent="0.35">
      <c r="B483" s="31" t="s">
        <v>1865</v>
      </c>
      <c r="C483" s="31" t="s">
        <v>1866</v>
      </c>
      <c r="D483" s="31" t="s">
        <v>1867</v>
      </c>
      <c r="E483" s="35">
        <f>LEN(Tabla1[[#This Row],[Partida]])</f>
        <v>7</v>
      </c>
      <c r="F483" s="35" t="str">
        <f>Tabla1[[#This Row],[Partida]]&amp;" : "&amp;Tabla1[[#This Row],[Descripción larga]]</f>
        <v>O-04-01 : SERVICIOS PROFESIONALES - ACABADOS - CTO DE BOMBAS</v>
      </c>
    </row>
    <row r="484" spans="2:6" ht="14.45" x14ac:dyDescent="0.35">
      <c r="B484" s="31" t="s">
        <v>1868</v>
      </c>
      <c r="C484" s="31" t="s">
        <v>1869</v>
      </c>
      <c r="D484" s="31" t="s">
        <v>1870</v>
      </c>
      <c r="E484" s="35">
        <f>LEN(Tabla1[[#This Row],[Partida]])</f>
        <v>4</v>
      </c>
      <c r="F484" s="35" t="str">
        <f>Tabla1[[#This Row],[Partida]]&amp;" : "&amp;Tabla1[[#This Row],[Descripción larga]]</f>
        <v>O-05 : ESTRUCTURA METALICA - CTO DE BOMBAS</v>
      </c>
    </row>
    <row r="485" spans="2:6" ht="14.45" x14ac:dyDescent="0.35">
      <c r="B485" s="31" t="s">
        <v>1871</v>
      </c>
      <c r="C485" s="31" t="s">
        <v>1872</v>
      </c>
      <c r="D485" s="31" t="s">
        <v>1873</v>
      </c>
      <c r="E485" s="35">
        <f>LEN(Tabla1[[#This Row],[Partida]])</f>
        <v>7</v>
      </c>
      <c r="F485" s="35" t="str">
        <f>Tabla1[[#This Row],[Partida]]&amp;" : "&amp;Tabla1[[#This Row],[Descripción larga]]</f>
        <v>O-05-01 : SUBCONTRATOS - EM - CTO DE BOMBAS</v>
      </c>
    </row>
    <row r="486" spans="2:6" ht="14.45" x14ac:dyDescent="0.35">
      <c r="B486" s="31" t="s">
        <v>1874</v>
      </c>
      <c r="C486" s="31" t="s">
        <v>1875</v>
      </c>
      <c r="D486" s="31" t="s">
        <v>1876</v>
      </c>
      <c r="E486" s="35">
        <f>LEN(Tabla1[[#This Row],[Partida]])</f>
        <v>4</v>
      </c>
      <c r="F486" s="35" t="str">
        <f>Tabla1[[#This Row],[Partida]]&amp;" : "&amp;Tabla1[[#This Row],[Descripción larga]]</f>
        <v>O-06 : TECHUMBRE O CUBIERTAS - CTO DE BOMBAS</v>
      </c>
    </row>
    <row r="487" spans="2:6" ht="14.45" x14ac:dyDescent="0.35">
      <c r="B487" s="31" t="s">
        <v>1877</v>
      </c>
      <c r="C487" s="31" t="s">
        <v>1878</v>
      </c>
      <c r="D487" s="31" t="s">
        <v>1879</v>
      </c>
      <c r="E487" s="35">
        <f>LEN(Tabla1[[#This Row],[Partida]])</f>
        <v>7</v>
      </c>
      <c r="F487" s="35" t="str">
        <f>Tabla1[[#This Row],[Partida]]&amp;" : "&amp;Tabla1[[#This Row],[Descripción larga]]</f>
        <v>O-06-01 : SUBCONTRATOS - CUBIERTAS - CTO DE BOMBAS</v>
      </c>
    </row>
    <row r="488" spans="2:6" ht="14.45" x14ac:dyDescent="0.35">
      <c r="B488" s="31" t="s">
        <v>1880</v>
      </c>
      <c r="C488" s="31" t="s">
        <v>1881</v>
      </c>
      <c r="D488" s="31" t="s">
        <v>1882</v>
      </c>
      <c r="E488" s="35">
        <f>LEN(Tabla1[[#This Row],[Partida]])</f>
        <v>4</v>
      </c>
      <c r="F488" s="35" t="str">
        <f>Tabla1[[#This Row],[Partida]]&amp;" : "&amp;Tabla1[[#This Row],[Descripción larga]]</f>
        <v>O-07 : LAMINA EN FACHADA - CTO DE BOMBAS</v>
      </c>
    </row>
    <row r="489" spans="2:6" ht="14.45" x14ac:dyDescent="0.35">
      <c r="B489" s="31" t="s">
        <v>1883</v>
      </c>
      <c r="C489" s="31" t="s">
        <v>1884</v>
      </c>
      <c r="D489" s="31" t="s">
        <v>1885</v>
      </c>
      <c r="E489" s="35">
        <f>LEN(Tabla1[[#This Row],[Partida]])</f>
        <v>7</v>
      </c>
      <c r="F489" s="35" t="str">
        <f>Tabla1[[#This Row],[Partida]]&amp;" : "&amp;Tabla1[[#This Row],[Descripción larga]]</f>
        <v>O-07-01 : SUBCONTRATOS - LAMINA FACHADA - CTO DE BOMBAS</v>
      </c>
    </row>
    <row r="490" spans="2:6" ht="14.45" x14ac:dyDescent="0.35">
      <c r="B490" s="31" t="s">
        <v>1886</v>
      </c>
      <c r="C490" s="31" t="s">
        <v>1887</v>
      </c>
      <c r="D490" s="31" t="s">
        <v>1888</v>
      </c>
      <c r="E490" s="35">
        <f>LEN(Tabla1[[#This Row],[Partida]])</f>
        <v>4</v>
      </c>
      <c r="F490" s="35" t="str">
        <f>Tabla1[[#This Row],[Partida]]&amp;" : "&amp;Tabla1[[#This Row],[Descripción larga]]</f>
        <v>O-08 : INSTALACIONES - CTO DE BOMBAS</v>
      </c>
    </row>
    <row r="491" spans="2:6" ht="14.45" x14ac:dyDescent="0.35">
      <c r="B491" s="31" t="s">
        <v>1889</v>
      </c>
      <c r="C491" s="31" t="s">
        <v>1890</v>
      </c>
      <c r="D491" s="31" t="s">
        <v>1891</v>
      </c>
      <c r="E491" s="35">
        <f>LEN(Tabla1[[#This Row],[Partida]])</f>
        <v>7</v>
      </c>
      <c r="F491" s="35" t="str">
        <f>Tabla1[[#This Row],[Partida]]&amp;" : "&amp;Tabla1[[#This Row],[Descripción larga]]</f>
        <v>O-08-01 : SERVICIOS PROFESIONALES - INSTALACIONES - CTO DE BOMBAS</v>
      </c>
    </row>
    <row r="492" spans="2:6" ht="14.45" x14ac:dyDescent="0.35">
      <c r="B492" s="31" t="s">
        <v>1892</v>
      </c>
      <c r="C492" s="31" t="s">
        <v>1893</v>
      </c>
      <c r="D492" s="31" t="s">
        <v>1894</v>
      </c>
      <c r="E492" s="35">
        <f>LEN(Tabla1[[#This Row],[Partida]])</f>
        <v>7</v>
      </c>
      <c r="F492" s="35" t="str">
        <f>Tabla1[[#This Row],[Partida]]&amp;" : "&amp;Tabla1[[#This Row],[Descripción larga]]</f>
        <v>O-08-02 : SUBCONTRATOS - INSTALACIONES - CTO DE BOMBAS</v>
      </c>
    </row>
    <row r="493" spans="2:6" ht="14.45" x14ac:dyDescent="0.35">
      <c r="B493" s="31" t="s">
        <v>1895</v>
      </c>
      <c r="C493" s="31" t="s">
        <v>1895</v>
      </c>
      <c r="D493" s="31" t="s">
        <v>1896</v>
      </c>
      <c r="E493" s="35">
        <f>LEN(Tabla1[[#This Row],[Partida]])</f>
        <v>1</v>
      </c>
      <c r="F493" s="35" t="str">
        <f>Tabla1[[#This Row],[Partida]]&amp;" : "&amp;Tabla1[[#This Row],[Descripción larga]]</f>
        <v>P : SUBESTACION RECEPTORA - CENTRO DISTRIBUCION</v>
      </c>
    </row>
    <row r="494" spans="2:6" ht="14.45" x14ac:dyDescent="0.35">
      <c r="B494" s="31" t="s">
        <v>1897</v>
      </c>
      <c r="C494" s="31" t="s">
        <v>1898</v>
      </c>
      <c r="D494" s="31" t="s">
        <v>1899</v>
      </c>
      <c r="E494" s="35">
        <f>LEN(Tabla1[[#This Row],[Partida]])</f>
        <v>4</v>
      </c>
      <c r="F494" s="35" t="str">
        <f>Tabla1[[#This Row],[Partida]]&amp;" : "&amp;Tabla1[[#This Row],[Descripción larga]]</f>
        <v>P-01 : CIMENTACION - SUBESTACION RECEPTORA</v>
      </c>
    </row>
    <row r="495" spans="2:6" ht="14.45" x14ac:dyDescent="0.35">
      <c r="B495" s="31" t="s">
        <v>1900</v>
      </c>
      <c r="C495" s="31" t="s">
        <v>1901</v>
      </c>
      <c r="D495" s="31" t="s">
        <v>1902</v>
      </c>
      <c r="E495" s="35">
        <f>LEN(Tabla1[[#This Row],[Partida]])</f>
        <v>7</v>
      </c>
      <c r="F495" s="35" t="str">
        <f>Tabla1[[#This Row],[Partida]]&amp;" : "&amp;Tabla1[[#This Row],[Descripción larga]]</f>
        <v>P-01-01 : MATERIALES, HERR Y EQ - CIMENTACION - SUBESTACION RECEPTORA</v>
      </c>
    </row>
    <row r="496" spans="2:6" ht="14.45" x14ac:dyDescent="0.35">
      <c r="B496" s="31" t="s">
        <v>1903</v>
      </c>
      <c r="C496" s="31" t="s">
        <v>1904</v>
      </c>
      <c r="D496" s="31" t="s">
        <v>1905</v>
      </c>
      <c r="E496" s="35">
        <f>LEN(Tabla1[[#This Row],[Partida]])</f>
        <v>7</v>
      </c>
      <c r="F496" s="35" t="str">
        <f>Tabla1[[#This Row],[Partida]]&amp;" : "&amp;Tabla1[[#This Row],[Descripción larga]]</f>
        <v>P-01-02 : MO - CIMENTACION - SUBESTACION RECEPTORA</v>
      </c>
    </row>
    <row r="497" spans="2:6" ht="14.45" x14ac:dyDescent="0.35">
      <c r="B497" s="31" t="s">
        <v>1906</v>
      </c>
      <c r="C497" s="31" t="s">
        <v>1907</v>
      </c>
      <c r="D497" s="31" t="s">
        <v>1908</v>
      </c>
      <c r="E497" s="35">
        <f>LEN(Tabla1[[#This Row],[Partida]])</f>
        <v>7</v>
      </c>
      <c r="F497" s="35" t="str">
        <f>Tabla1[[#This Row],[Partida]]&amp;" : "&amp;Tabla1[[#This Row],[Descripción larga]]</f>
        <v>P-01-03 : SUBCONTRATOS - CIMENTACION - SUBESTACION RECEPTORA</v>
      </c>
    </row>
    <row r="498" spans="2:6" ht="14.45" x14ac:dyDescent="0.35">
      <c r="B498" s="31" t="s">
        <v>1909</v>
      </c>
      <c r="C498" s="31" t="s">
        <v>1910</v>
      </c>
      <c r="D498" s="31" t="s">
        <v>1911</v>
      </c>
      <c r="E498" s="35">
        <f>LEN(Tabla1[[#This Row],[Partida]])</f>
        <v>4</v>
      </c>
      <c r="F498" s="35" t="str">
        <f>Tabla1[[#This Row],[Partida]]&amp;" : "&amp;Tabla1[[#This Row],[Descripción larga]]</f>
        <v>P-02 : PISOS - SUBESTACION RECEPTORA</v>
      </c>
    </row>
    <row r="499" spans="2:6" ht="14.45" x14ac:dyDescent="0.35">
      <c r="B499" s="31" t="s">
        <v>1912</v>
      </c>
      <c r="C499" s="31" t="s">
        <v>1913</v>
      </c>
      <c r="D499" s="31" t="s">
        <v>1914</v>
      </c>
      <c r="E499" s="35">
        <f>LEN(Tabla1[[#This Row],[Partida]])</f>
        <v>7</v>
      </c>
      <c r="F499" s="35" t="str">
        <f>Tabla1[[#This Row],[Partida]]&amp;" : "&amp;Tabla1[[#This Row],[Descripción larga]]</f>
        <v>P-02-01 : MATERIALES, HERR Y EQ - PISOS - SUBESTACION RECEPTORA</v>
      </c>
    </row>
    <row r="500" spans="2:6" ht="14.45" x14ac:dyDescent="0.35">
      <c r="B500" s="31" t="s">
        <v>1915</v>
      </c>
      <c r="C500" s="31" t="s">
        <v>1916</v>
      </c>
      <c r="D500" s="31" t="s">
        <v>1917</v>
      </c>
      <c r="E500" s="35">
        <f>LEN(Tabla1[[#This Row],[Partida]])</f>
        <v>7</v>
      </c>
      <c r="F500" s="35" t="str">
        <f>Tabla1[[#This Row],[Partida]]&amp;" : "&amp;Tabla1[[#This Row],[Descripción larga]]</f>
        <v>P-02-02 : MO - PISOS - SUBESTACION RECEPTORA</v>
      </c>
    </row>
    <row r="501" spans="2:6" ht="14.45" x14ac:dyDescent="0.35">
      <c r="B501" s="31" t="s">
        <v>1918</v>
      </c>
      <c r="C501" s="31" t="s">
        <v>1919</v>
      </c>
      <c r="D501" s="31" t="s">
        <v>1920</v>
      </c>
      <c r="E501" s="35">
        <f>LEN(Tabla1[[#This Row],[Partida]])</f>
        <v>7</v>
      </c>
      <c r="F501" s="35" t="str">
        <f>Tabla1[[#This Row],[Partida]]&amp;" : "&amp;Tabla1[[#This Row],[Descripción larga]]</f>
        <v>P-02-03 : SERVICIOS PROFESIONALES - PISOS - SUBESTACION RECEPTORA</v>
      </c>
    </row>
    <row r="502" spans="2:6" ht="14.45" x14ac:dyDescent="0.35">
      <c r="B502" s="31" t="s">
        <v>1921</v>
      </c>
      <c r="C502" s="31" t="s">
        <v>1922</v>
      </c>
      <c r="D502" s="31" t="s">
        <v>1923</v>
      </c>
      <c r="E502" s="35">
        <f>LEN(Tabla1[[#This Row],[Partida]])</f>
        <v>4</v>
      </c>
      <c r="F502" s="35" t="str">
        <f>Tabla1[[#This Row],[Partida]]&amp;" : "&amp;Tabla1[[#This Row],[Descripción larga]]</f>
        <v>P-03 : ALBAÑILERIAS - SUBESTACION RECEPTORA</v>
      </c>
    </row>
    <row r="503" spans="2:6" ht="14.45" x14ac:dyDescent="0.35">
      <c r="B503" s="31" t="s">
        <v>1924</v>
      </c>
      <c r="C503" s="31" t="s">
        <v>1925</v>
      </c>
      <c r="D503" s="31" t="s">
        <v>1926</v>
      </c>
      <c r="E503" s="35">
        <f>LEN(Tabla1[[#This Row],[Partida]])</f>
        <v>7</v>
      </c>
      <c r="F503" s="35" t="str">
        <f>Tabla1[[#This Row],[Partida]]&amp;" : "&amp;Tabla1[[#This Row],[Descripción larga]]</f>
        <v>P-03-01 : MATERIALES, HERR Y EQ - ALBAÑILERIAS - SUBESTACION RECEPTORA</v>
      </c>
    </row>
    <row r="504" spans="2:6" ht="14.45" x14ac:dyDescent="0.35">
      <c r="B504" s="31" t="s">
        <v>1927</v>
      </c>
      <c r="C504" s="31" t="s">
        <v>1928</v>
      </c>
      <c r="D504" s="31" t="s">
        <v>1929</v>
      </c>
      <c r="E504" s="35">
        <f>LEN(Tabla1[[#This Row],[Partida]])</f>
        <v>7</v>
      </c>
      <c r="F504" s="35" t="str">
        <f>Tabla1[[#This Row],[Partida]]&amp;" : "&amp;Tabla1[[#This Row],[Descripción larga]]</f>
        <v>P-03-02 : MO - ALBAÑILERIAS - SUBESTACION RECEPTORA</v>
      </c>
    </row>
    <row r="505" spans="2:6" ht="14.45" x14ac:dyDescent="0.35">
      <c r="B505" s="31" t="s">
        <v>1930</v>
      </c>
      <c r="C505" s="31" t="s">
        <v>1931</v>
      </c>
      <c r="D505" s="31" t="s">
        <v>1932</v>
      </c>
      <c r="E505" s="35">
        <f>LEN(Tabla1[[#This Row],[Partida]])</f>
        <v>7</v>
      </c>
      <c r="F505" s="35" t="str">
        <f>Tabla1[[#This Row],[Partida]]&amp;" : "&amp;Tabla1[[#This Row],[Descripción larga]]</f>
        <v>P-03-03 : SERVICIOS PROFESIONALES - ALBAÑILERIAS - SUBESTACION RECEPTORA</v>
      </c>
    </row>
    <row r="506" spans="2:6" ht="14.45" x14ac:dyDescent="0.35">
      <c r="B506" s="31" t="s">
        <v>1933</v>
      </c>
      <c r="C506" s="31" t="s">
        <v>1934</v>
      </c>
      <c r="D506" s="31" t="s">
        <v>1935</v>
      </c>
      <c r="E506" s="35">
        <f>LEN(Tabla1[[#This Row],[Partida]])</f>
        <v>7</v>
      </c>
      <c r="F506" s="35" t="str">
        <f>Tabla1[[#This Row],[Partida]]&amp;" : "&amp;Tabla1[[#This Row],[Descripción larga]]</f>
        <v>P-03-04 : SUBCONTRATOS - ALBAÑILERIAS - SUBESTACION RECEPTORA</v>
      </c>
    </row>
    <row r="507" spans="2:6" ht="14.45" x14ac:dyDescent="0.35">
      <c r="B507" s="31" t="s">
        <v>1936</v>
      </c>
      <c r="C507" s="31" t="s">
        <v>1937</v>
      </c>
      <c r="D507" s="31" t="s">
        <v>1938</v>
      </c>
      <c r="E507" s="35">
        <f>LEN(Tabla1[[#This Row],[Partida]])</f>
        <v>4</v>
      </c>
      <c r="F507" s="35" t="str">
        <f>Tabla1[[#This Row],[Partida]]&amp;" : "&amp;Tabla1[[#This Row],[Descripción larga]]</f>
        <v>P-04 : ACABADOS - SUBESTACION RECEPTORA</v>
      </c>
    </row>
    <row r="508" spans="2:6" ht="14.45" x14ac:dyDescent="0.35">
      <c r="B508" s="31" t="s">
        <v>1939</v>
      </c>
      <c r="C508" s="31" t="s">
        <v>1940</v>
      </c>
      <c r="D508" s="31" t="s">
        <v>1941</v>
      </c>
      <c r="E508" s="35">
        <f>LEN(Tabla1[[#This Row],[Partida]])</f>
        <v>7</v>
      </c>
      <c r="F508" s="35" t="str">
        <f>Tabla1[[#This Row],[Partida]]&amp;" : "&amp;Tabla1[[#This Row],[Descripción larga]]</f>
        <v>P-04-01 : SERVICIOS PROFESIONALES - ACABADOS - SUBESTACION RECEPTORA</v>
      </c>
    </row>
    <row r="509" spans="2:6" ht="14.45" x14ac:dyDescent="0.35">
      <c r="B509" s="31" t="s">
        <v>1942</v>
      </c>
      <c r="C509" s="31" t="s">
        <v>1943</v>
      </c>
      <c r="D509" s="31" t="s">
        <v>1944</v>
      </c>
      <c r="E509" s="35">
        <f>LEN(Tabla1[[#This Row],[Partida]])</f>
        <v>7</v>
      </c>
      <c r="F509" s="35" t="str">
        <f>Tabla1[[#This Row],[Partida]]&amp;" : "&amp;Tabla1[[#This Row],[Descripción larga]]</f>
        <v>P-04-02 : SUBCONTRATOS - ACABADOS - SUBESTACION RECEPTORA</v>
      </c>
    </row>
    <row r="510" spans="2:6" ht="14.45" x14ac:dyDescent="0.35">
      <c r="B510" s="31" t="s">
        <v>1945</v>
      </c>
      <c r="C510" s="31" t="s">
        <v>1946</v>
      </c>
      <c r="D510" s="31" t="s">
        <v>1947</v>
      </c>
      <c r="E510" s="35">
        <f>LEN(Tabla1[[#This Row],[Partida]])</f>
        <v>4</v>
      </c>
      <c r="F510" s="35" t="str">
        <f>Tabla1[[#This Row],[Partida]]&amp;" : "&amp;Tabla1[[#This Row],[Descripción larga]]</f>
        <v>P-05 : ESTRUCTURA METALICA - SUBESTACION RECEPTORA</v>
      </c>
    </row>
    <row r="511" spans="2:6" ht="14.45" x14ac:dyDescent="0.35">
      <c r="B511" s="31" t="s">
        <v>1948</v>
      </c>
      <c r="C511" s="31" t="s">
        <v>1949</v>
      </c>
      <c r="D511" s="31" t="s">
        <v>1950</v>
      </c>
      <c r="E511" s="35">
        <f>LEN(Tabla1[[#This Row],[Partida]])</f>
        <v>7</v>
      </c>
      <c r="F511" s="35" t="str">
        <f>Tabla1[[#This Row],[Partida]]&amp;" : "&amp;Tabla1[[#This Row],[Descripción larga]]</f>
        <v>P-05-01 : SUBCONTRATOS - ESTRUCTURA METALICA - SUBESTACION RECEPTORA</v>
      </c>
    </row>
    <row r="512" spans="2:6" ht="14.45" x14ac:dyDescent="0.35">
      <c r="B512" s="31" t="s">
        <v>1951</v>
      </c>
      <c r="C512" s="31" t="s">
        <v>1952</v>
      </c>
      <c r="D512" s="31" t="s">
        <v>1953</v>
      </c>
      <c r="E512" s="35">
        <f>LEN(Tabla1[[#This Row],[Partida]])</f>
        <v>4</v>
      </c>
      <c r="F512" s="35" t="str">
        <f>Tabla1[[#This Row],[Partida]]&amp;" : "&amp;Tabla1[[#This Row],[Descripción larga]]</f>
        <v>P-06 : TECHUMBRE O CUBIERTAS - SUBESTACION RECEPTORA</v>
      </c>
    </row>
    <row r="513" spans="2:6" ht="14.45" x14ac:dyDescent="0.35">
      <c r="B513" s="31" t="s">
        <v>1954</v>
      </c>
      <c r="C513" s="31" t="s">
        <v>1955</v>
      </c>
      <c r="D513" s="31" t="s">
        <v>1956</v>
      </c>
      <c r="E513" s="35">
        <f>LEN(Tabla1[[#This Row],[Partida]])</f>
        <v>7</v>
      </c>
      <c r="F513" s="35" t="str">
        <f>Tabla1[[#This Row],[Partida]]&amp;" : "&amp;Tabla1[[#This Row],[Descripción larga]]</f>
        <v>P-06-01 : SUBCONTRATOS - CUBIERTAS - SUBESTACION RECEPTORA</v>
      </c>
    </row>
    <row r="514" spans="2:6" ht="14.45" x14ac:dyDescent="0.35">
      <c r="B514" s="31" t="s">
        <v>1957</v>
      </c>
      <c r="C514" s="31" t="s">
        <v>1958</v>
      </c>
      <c r="D514" s="31" t="s">
        <v>1959</v>
      </c>
      <c r="E514" s="35">
        <f>LEN(Tabla1[[#This Row],[Partida]])</f>
        <v>4</v>
      </c>
      <c r="F514" s="35" t="str">
        <f>Tabla1[[#This Row],[Partida]]&amp;" : "&amp;Tabla1[[#This Row],[Descripción larga]]</f>
        <v>P-07 : LAMINA EN FACHADA - SUBESTACION RECEPTORA</v>
      </c>
    </row>
    <row r="515" spans="2:6" ht="14.45" x14ac:dyDescent="0.35">
      <c r="B515" s="31" t="s">
        <v>1960</v>
      </c>
      <c r="C515" s="31" t="s">
        <v>1961</v>
      </c>
      <c r="D515" s="31" t="s">
        <v>1962</v>
      </c>
      <c r="E515" s="35">
        <f>LEN(Tabla1[[#This Row],[Partida]])</f>
        <v>7</v>
      </c>
      <c r="F515" s="35" t="str">
        <f>Tabla1[[#This Row],[Partida]]&amp;" : "&amp;Tabla1[[#This Row],[Descripción larga]]</f>
        <v>P-07-01 : SUBCONTRATOS - LAMINA FACHADA - SUBESTACION RECEPTORA</v>
      </c>
    </row>
    <row r="516" spans="2:6" ht="14.45" x14ac:dyDescent="0.35">
      <c r="B516" s="31" t="s">
        <v>1963</v>
      </c>
      <c r="C516" s="31" t="s">
        <v>1964</v>
      </c>
      <c r="D516" s="31" t="s">
        <v>1965</v>
      </c>
      <c r="E516" s="35">
        <f>LEN(Tabla1[[#This Row],[Partida]])</f>
        <v>4</v>
      </c>
      <c r="F516" s="35" t="str">
        <f>Tabla1[[#This Row],[Partida]]&amp;" : "&amp;Tabla1[[#This Row],[Descripción larga]]</f>
        <v>P-08 : INSTALACIONES - SUBESTACION RECEPTORA</v>
      </c>
    </row>
    <row r="517" spans="2:6" ht="14.45" x14ac:dyDescent="0.35">
      <c r="B517" s="31" t="s">
        <v>1966</v>
      </c>
      <c r="C517" s="31" t="s">
        <v>1967</v>
      </c>
      <c r="D517" s="31" t="s">
        <v>1968</v>
      </c>
      <c r="E517" s="35">
        <f>LEN(Tabla1[[#This Row],[Partida]])</f>
        <v>7</v>
      </c>
      <c r="F517" s="35" t="str">
        <f>Tabla1[[#This Row],[Partida]]&amp;" : "&amp;Tabla1[[#This Row],[Descripción larga]]</f>
        <v>P-08-01 : SERVICIOS PROFESIONALES - INSTALACIONES - SUBESTACION RECEPTORA</v>
      </c>
    </row>
    <row r="518" spans="2:6" ht="14.45" x14ac:dyDescent="0.35">
      <c r="B518" s="31" t="s">
        <v>1969</v>
      </c>
      <c r="C518" s="31" t="s">
        <v>1970</v>
      </c>
      <c r="D518" s="31" t="s">
        <v>1971</v>
      </c>
      <c r="E518" s="35">
        <f>LEN(Tabla1[[#This Row],[Partida]])</f>
        <v>7</v>
      </c>
      <c r="F518" s="35" t="str">
        <f>Tabla1[[#This Row],[Partida]]&amp;" : "&amp;Tabla1[[#This Row],[Descripción larga]]</f>
        <v>P-08-02 : SUBCONTRATOS - INSTALACIONES - SUBESTACION RECEPTORA</v>
      </c>
    </row>
    <row r="519" spans="2:6" ht="14.45" x14ac:dyDescent="0.35">
      <c r="B519" s="31" t="s">
        <v>1972</v>
      </c>
      <c r="C519" s="31" t="s">
        <v>1972</v>
      </c>
      <c r="D519" s="31" t="s">
        <v>1973</v>
      </c>
      <c r="E519" s="35">
        <f>LEN(Tabla1[[#This Row],[Partida]])</f>
        <v>1</v>
      </c>
      <c r="F519" s="35" t="str">
        <f>Tabla1[[#This Row],[Partida]]&amp;" : "&amp;Tabla1[[#This Row],[Descripción larga]]</f>
        <v>Q : SUBESTACION SECUNDARIA - CENTRO DISTRIBUCION</v>
      </c>
    </row>
    <row r="520" spans="2:6" ht="14.45" x14ac:dyDescent="0.35">
      <c r="B520" s="31" t="s">
        <v>1974</v>
      </c>
      <c r="C520" s="31" t="s">
        <v>1975</v>
      </c>
      <c r="D520" s="31" t="s">
        <v>1976</v>
      </c>
      <c r="E520" s="35">
        <f>LEN(Tabla1[[#This Row],[Partida]])</f>
        <v>4</v>
      </c>
      <c r="F520" s="35" t="str">
        <f>Tabla1[[#This Row],[Partida]]&amp;" : "&amp;Tabla1[[#This Row],[Descripción larga]]</f>
        <v>Q-01 : CIMENTACION - SUBESTACION SECUNDARIA</v>
      </c>
    </row>
    <row r="521" spans="2:6" ht="14.45" x14ac:dyDescent="0.35">
      <c r="B521" s="31" t="s">
        <v>1977</v>
      </c>
      <c r="C521" s="31" t="s">
        <v>1978</v>
      </c>
      <c r="D521" s="31" t="s">
        <v>1979</v>
      </c>
      <c r="E521" s="35">
        <f>LEN(Tabla1[[#This Row],[Partida]])</f>
        <v>7</v>
      </c>
      <c r="F521" s="35" t="str">
        <f>Tabla1[[#This Row],[Partida]]&amp;" : "&amp;Tabla1[[#This Row],[Descripción larga]]</f>
        <v>Q-01-01 : MATERIALES, HERR Y EQ - CIMENTACION - SUBESTACION SECUNDARIA</v>
      </c>
    </row>
    <row r="522" spans="2:6" ht="14.45" x14ac:dyDescent="0.35">
      <c r="B522" s="31" t="s">
        <v>1980</v>
      </c>
      <c r="C522" s="31" t="s">
        <v>1981</v>
      </c>
      <c r="D522" s="31" t="s">
        <v>1982</v>
      </c>
      <c r="E522" s="35">
        <f>LEN(Tabla1[[#This Row],[Partida]])</f>
        <v>7</v>
      </c>
      <c r="F522" s="35" t="str">
        <f>Tabla1[[#This Row],[Partida]]&amp;" : "&amp;Tabla1[[#This Row],[Descripción larga]]</f>
        <v>Q-01-02 : MO - CIMENTACION - SUBESTACION SECUNDARIA</v>
      </c>
    </row>
    <row r="523" spans="2:6" ht="14.45" x14ac:dyDescent="0.35">
      <c r="B523" s="31" t="s">
        <v>1983</v>
      </c>
      <c r="C523" s="31" t="s">
        <v>1984</v>
      </c>
      <c r="D523" s="31" t="s">
        <v>1985</v>
      </c>
      <c r="E523" s="35">
        <f>LEN(Tabla1[[#This Row],[Partida]])</f>
        <v>7</v>
      </c>
      <c r="F523" s="35" t="str">
        <f>Tabla1[[#This Row],[Partida]]&amp;" : "&amp;Tabla1[[#This Row],[Descripción larga]]</f>
        <v>Q-01-03 : SUBCONTRATOS - CIMENTACION - SUBESTACION SECUNDARIA</v>
      </c>
    </row>
    <row r="524" spans="2:6" ht="14.45" x14ac:dyDescent="0.35">
      <c r="B524" s="31" t="s">
        <v>1986</v>
      </c>
      <c r="C524" s="31" t="s">
        <v>1987</v>
      </c>
      <c r="D524" s="31" t="s">
        <v>1988</v>
      </c>
      <c r="E524" s="35">
        <f>LEN(Tabla1[[#This Row],[Partida]])</f>
        <v>4</v>
      </c>
      <c r="F524" s="35" t="str">
        <f>Tabla1[[#This Row],[Partida]]&amp;" : "&amp;Tabla1[[#This Row],[Descripción larga]]</f>
        <v>Q-02 : PISOS - SUBESTACION SECUNDARIA</v>
      </c>
    </row>
    <row r="525" spans="2:6" ht="14.45" x14ac:dyDescent="0.35">
      <c r="B525" s="31" t="s">
        <v>1989</v>
      </c>
      <c r="C525" s="31" t="s">
        <v>1990</v>
      </c>
      <c r="D525" s="31" t="s">
        <v>1991</v>
      </c>
      <c r="E525" s="35">
        <f>LEN(Tabla1[[#This Row],[Partida]])</f>
        <v>7</v>
      </c>
      <c r="F525" s="35" t="str">
        <f>Tabla1[[#This Row],[Partida]]&amp;" : "&amp;Tabla1[[#This Row],[Descripción larga]]</f>
        <v>Q-02-01 : MATERIALES, HERR Y EQ - PISOS - SUBESTACION SECUNDARIA</v>
      </c>
    </row>
    <row r="526" spans="2:6" ht="14.45" x14ac:dyDescent="0.35">
      <c r="B526" s="31" t="s">
        <v>1992</v>
      </c>
      <c r="C526" s="31" t="s">
        <v>1993</v>
      </c>
      <c r="D526" s="31" t="s">
        <v>1994</v>
      </c>
      <c r="E526" s="35">
        <f>LEN(Tabla1[[#This Row],[Partida]])</f>
        <v>7</v>
      </c>
      <c r="F526" s="35" t="str">
        <f>Tabla1[[#This Row],[Partida]]&amp;" : "&amp;Tabla1[[#This Row],[Descripción larga]]</f>
        <v>Q-02-02 : MO - PISOS - SUBESTACION SECUNDARIA</v>
      </c>
    </row>
    <row r="527" spans="2:6" ht="14.45" x14ac:dyDescent="0.35">
      <c r="B527" s="31" t="s">
        <v>1995</v>
      </c>
      <c r="C527" s="31" t="s">
        <v>1996</v>
      </c>
      <c r="D527" s="31" t="s">
        <v>1997</v>
      </c>
      <c r="E527" s="35">
        <f>LEN(Tabla1[[#This Row],[Partida]])</f>
        <v>7</v>
      </c>
      <c r="F527" s="35" t="str">
        <f>Tabla1[[#This Row],[Partida]]&amp;" : "&amp;Tabla1[[#This Row],[Descripción larga]]</f>
        <v>Q-02-03 : SERVICIOS PROFESIONALES - PISOS - SUBESTACION SECUNDARIA</v>
      </c>
    </row>
    <row r="528" spans="2:6" ht="14.45" x14ac:dyDescent="0.35">
      <c r="B528" s="31" t="s">
        <v>1998</v>
      </c>
      <c r="C528" s="31" t="s">
        <v>1999</v>
      </c>
      <c r="D528" s="31" t="s">
        <v>2000</v>
      </c>
      <c r="E528" s="35">
        <f>LEN(Tabla1[[#This Row],[Partida]])</f>
        <v>4</v>
      </c>
      <c r="F528" s="35" t="str">
        <f>Tabla1[[#This Row],[Partida]]&amp;" : "&amp;Tabla1[[#This Row],[Descripción larga]]</f>
        <v>Q-03 : ALBAÑILERIAS - SUBESTACION SECUNDARIA</v>
      </c>
    </row>
    <row r="529" spans="2:6" ht="14.45" x14ac:dyDescent="0.35">
      <c r="B529" s="31" t="s">
        <v>2001</v>
      </c>
      <c r="C529" s="31" t="s">
        <v>2002</v>
      </c>
      <c r="D529" s="31" t="s">
        <v>2003</v>
      </c>
      <c r="E529" s="35">
        <f>LEN(Tabla1[[#This Row],[Partida]])</f>
        <v>7</v>
      </c>
      <c r="F529" s="35" t="str">
        <f>Tabla1[[#This Row],[Partida]]&amp;" : "&amp;Tabla1[[#This Row],[Descripción larga]]</f>
        <v>Q-03-01 : MATERIALES, HERR Y EQ - ALBAÑILERIAS - SUBESTACION SECUNDARIA</v>
      </c>
    </row>
    <row r="530" spans="2:6" ht="14.45" x14ac:dyDescent="0.35">
      <c r="B530" s="31" t="s">
        <v>2004</v>
      </c>
      <c r="C530" s="31" t="s">
        <v>2005</v>
      </c>
      <c r="D530" s="31" t="s">
        <v>2006</v>
      </c>
      <c r="E530" s="35">
        <f>LEN(Tabla1[[#This Row],[Partida]])</f>
        <v>7</v>
      </c>
      <c r="F530" s="35" t="str">
        <f>Tabla1[[#This Row],[Partida]]&amp;" : "&amp;Tabla1[[#This Row],[Descripción larga]]</f>
        <v>Q-03-02 : MO - ALBAÑILERIAS - SUBESTACION SECUNDARIA</v>
      </c>
    </row>
    <row r="531" spans="2:6" ht="14.45" x14ac:dyDescent="0.35">
      <c r="B531" s="31" t="s">
        <v>2007</v>
      </c>
      <c r="C531" s="31" t="s">
        <v>2008</v>
      </c>
      <c r="D531" s="31" t="s">
        <v>2009</v>
      </c>
      <c r="E531" s="35">
        <f>LEN(Tabla1[[#This Row],[Partida]])</f>
        <v>7</v>
      </c>
      <c r="F531" s="35" t="str">
        <f>Tabla1[[#This Row],[Partida]]&amp;" : "&amp;Tabla1[[#This Row],[Descripción larga]]</f>
        <v>Q-03-03 : SERVICIOS PROFESIONALES - ALBAÑILERIAS - SUBESTACION SECUNDARIA</v>
      </c>
    </row>
    <row r="532" spans="2:6" ht="14.45" x14ac:dyDescent="0.35">
      <c r="B532" s="31" t="s">
        <v>2010</v>
      </c>
      <c r="C532" s="31" t="s">
        <v>2011</v>
      </c>
      <c r="D532" s="31" t="s">
        <v>2012</v>
      </c>
      <c r="E532" s="35">
        <f>LEN(Tabla1[[#This Row],[Partida]])</f>
        <v>7</v>
      </c>
      <c r="F532" s="35" t="str">
        <f>Tabla1[[#This Row],[Partida]]&amp;" : "&amp;Tabla1[[#This Row],[Descripción larga]]</f>
        <v>Q-03-04 : SUBCONTRATOS - ALBAÑILERIAS - SUBESTACION SECUNDARIA</v>
      </c>
    </row>
    <row r="533" spans="2:6" ht="14.45" x14ac:dyDescent="0.35">
      <c r="B533" s="31" t="s">
        <v>2013</v>
      </c>
      <c r="C533" s="31" t="s">
        <v>2014</v>
      </c>
      <c r="D533" s="31" t="s">
        <v>2015</v>
      </c>
      <c r="E533" s="35">
        <f>LEN(Tabla1[[#This Row],[Partida]])</f>
        <v>4</v>
      </c>
      <c r="F533" s="35" t="str">
        <f>Tabla1[[#This Row],[Partida]]&amp;" : "&amp;Tabla1[[#This Row],[Descripción larga]]</f>
        <v>Q-04 : ACABADOS - SUBESTACION SECUNDARIA</v>
      </c>
    </row>
    <row r="534" spans="2:6" ht="14.45" x14ac:dyDescent="0.35">
      <c r="B534" s="31" t="s">
        <v>2016</v>
      </c>
      <c r="C534" s="31" t="s">
        <v>2017</v>
      </c>
      <c r="D534" s="31" t="s">
        <v>2018</v>
      </c>
      <c r="E534" s="35">
        <f>LEN(Tabla1[[#This Row],[Partida]])</f>
        <v>7</v>
      </c>
      <c r="F534" s="35" t="str">
        <f>Tabla1[[#This Row],[Partida]]&amp;" : "&amp;Tabla1[[#This Row],[Descripción larga]]</f>
        <v>Q-04-01 : SERVICIOS PROFESIONALES - ACABADOS - SUBESTACION SECUNDARIA</v>
      </c>
    </row>
    <row r="535" spans="2:6" ht="14.45" x14ac:dyDescent="0.35">
      <c r="B535" s="31" t="s">
        <v>2019</v>
      </c>
      <c r="C535" s="31" t="s">
        <v>2020</v>
      </c>
      <c r="D535" s="31" t="s">
        <v>2021</v>
      </c>
      <c r="E535" s="35">
        <f>LEN(Tabla1[[#This Row],[Partida]])</f>
        <v>7</v>
      </c>
      <c r="F535" s="35" t="str">
        <f>Tabla1[[#This Row],[Partida]]&amp;" : "&amp;Tabla1[[#This Row],[Descripción larga]]</f>
        <v>Q-04-02 : SUBCONTRATOS - ACABADOS - SUBESTACION SECUNDARIA</v>
      </c>
    </row>
    <row r="536" spans="2:6" ht="14.45" x14ac:dyDescent="0.35">
      <c r="B536" s="31" t="s">
        <v>2022</v>
      </c>
      <c r="C536" s="31" t="s">
        <v>2023</v>
      </c>
      <c r="D536" s="31" t="s">
        <v>2024</v>
      </c>
      <c r="E536" s="35">
        <f>LEN(Tabla1[[#This Row],[Partida]])</f>
        <v>4</v>
      </c>
      <c r="F536" s="35" t="str">
        <f>Tabla1[[#This Row],[Partida]]&amp;" : "&amp;Tabla1[[#This Row],[Descripción larga]]</f>
        <v>Q-05 : ESTRUCTURA METALICA - SUBESTACION SECUNDARIA</v>
      </c>
    </row>
    <row r="537" spans="2:6" ht="14.45" x14ac:dyDescent="0.35">
      <c r="B537" s="31" t="s">
        <v>2025</v>
      </c>
      <c r="C537" s="31" t="s">
        <v>2026</v>
      </c>
      <c r="D537" s="31" t="s">
        <v>2027</v>
      </c>
      <c r="E537" s="35">
        <f>LEN(Tabla1[[#This Row],[Partida]])</f>
        <v>7</v>
      </c>
      <c r="F537" s="35" t="str">
        <f>Tabla1[[#This Row],[Partida]]&amp;" : "&amp;Tabla1[[#This Row],[Descripción larga]]</f>
        <v>Q-05-01 : SUBCONTRATOS - ESTRUCTURA METALICA - SUBESTACION SECUNDARIA</v>
      </c>
    </row>
    <row r="538" spans="2:6" ht="14.45" x14ac:dyDescent="0.35">
      <c r="B538" s="31" t="s">
        <v>2028</v>
      </c>
      <c r="C538" s="31" t="s">
        <v>2029</v>
      </c>
      <c r="D538" s="31" t="s">
        <v>2030</v>
      </c>
      <c r="E538" s="35">
        <f>LEN(Tabla1[[#This Row],[Partida]])</f>
        <v>4</v>
      </c>
      <c r="F538" s="35" t="str">
        <f>Tabla1[[#This Row],[Partida]]&amp;" : "&amp;Tabla1[[#This Row],[Descripción larga]]</f>
        <v>Q-06 : TECHUMBRE O CUBIERTAS - SUBESTACION SECUNDARIA</v>
      </c>
    </row>
    <row r="539" spans="2:6" ht="14.45" x14ac:dyDescent="0.35">
      <c r="B539" s="31" t="s">
        <v>2031</v>
      </c>
      <c r="C539" s="31" t="s">
        <v>2032</v>
      </c>
      <c r="D539" s="31" t="s">
        <v>2033</v>
      </c>
      <c r="E539" s="35">
        <f>LEN(Tabla1[[#This Row],[Partida]])</f>
        <v>7</v>
      </c>
      <c r="F539" s="35" t="str">
        <f>Tabla1[[#This Row],[Partida]]&amp;" : "&amp;Tabla1[[#This Row],[Descripción larga]]</f>
        <v>Q-06-01 : SUBCONTRATOS - CUBIERTAS - SUBESTACION SECUNDARIA</v>
      </c>
    </row>
    <row r="540" spans="2:6" ht="14.45" x14ac:dyDescent="0.35">
      <c r="B540" s="31" t="s">
        <v>2034</v>
      </c>
      <c r="C540" s="31" t="s">
        <v>2035</v>
      </c>
      <c r="D540" s="31" t="s">
        <v>2036</v>
      </c>
      <c r="E540" s="35">
        <f>LEN(Tabla1[[#This Row],[Partida]])</f>
        <v>4</v>
      </c>
      <c r="F540" s="35" t="str">
        <f>Tabla1[[#This Row],[Partida]]&amp;" : "&amp;Tabla1[[#This Row],[Descripción larga]]</f>
        <v>Q-07 : LAMINA EN FACHADA - SUBESTACION SECUNDARIA</v>
      </c>
    </row>
    <row r="541" spans="2:6" ht="14.45" x14ac:dyDescent="0.35">
      <c r="B541" s="31" t="s">
        <v>2037</v>
      </c>
      <c r="C541" s="31" t="s">
        <v>2038</v>
      </c>
      <c r="D541" s="31" t="s">
        <v>2039</v>
      </c>
      <c r="E541" s="35">
        <f>LEN(Tabla1[[#This Row],[Partida]])</f>
        <v>7</v>
      </c>
      <c r="F541" s="35" t="str">
        <f>Tabla1[[#This Row],[Partida]]&amp;" : "&amp;Tabla1[[#This Row],[Descripción larga]]</f>
        <v>Q-07-01 : SUBCONTRATOS - LAMINA FACHADA - SUBESTACION SECUNDARIA</v>
      </c>
    </row>
    <row r="542" spans="2:6" ht="14.45" x14ac:dyDescent="0.35">
      <c r="B542" s="31" t="s">
        <v>2040</v>
      </c>
      <c r="C542" s="31" t="s">
        <v>2041</v>
      </c>
      <c r="D542" s="31" t="s">
        <v>2042</v>
      </c>
      <c r="E542" s="35">
        <f>LEN(Tabla1[[#This Row],[Partida]])</f>
        <v>4</v>
      </c>
      <c r="F542" s="35" t="str">
        <f>Tabla1[[#This Row],[Partida]]&amp;" : "&amp;Tabla1[[#This Row],[Descripción larga]]</f>
        <v>Q-08 : INSTALACIONES - SUBESTACION SECUNDARIA</v>
      </c>
    </row>
    <row r="543" spans="2:6" ht="14.45" x14ac:dyDescent="0.35">
      <c r="B543" s="31" t="s">
        <v>2043</v>
      </c>
      <c r="C543" s="31" t="s">
        <v>2044</v>
      </c>
      <c r="D543" s="31" t="s">
        <v>2045</v>
      </c>
      <c r="E543" s="35">
        <f>LEN(Tabla1[[#This Row],[Partida]])</f>
        <v>7</v>
      </c>
      <c r="F543" s="35" t="str">
        <f>Tabla1[[#This Row],[Partida]]&amp;" : "&amp;Tabla1[[#This Row],[Descripción larga]]</f>
        <v>Q-08-01 : MATERIALES, HERR Y EQ - INSTALACIONES - SUBESTACION SECUNDARIA</v>
      </c>
    </row>
    <row r="544" spans="2:6" ht="14.45" x14ac:dyDescent="0.35">
      <c r="B544" s="31" t="s">
        <v>2046</v>
      </c>
      <c r="C544" s="31" t="s">
        <v>2047</v>
      </c>
      <c r="D544" s="31" t="s">
        <v>2048</v>
      </c>
      <c r="E544" s="35">
        <f>LEN(Tabla1[[#This Row],[Partida]])</f>
        <v>7</v>
      </c>
      <c r="F544" s="35" t="str">
        <f>Tabla1[[#This Row],[Partida]]&amp;" : "&amp;Tabla1[[#This Row],[Descripción larga]]</f>
        <v>Q-08-02 : MO - INSTALACIONES - SUBESTACION SECUNDARIA</v>
      </c>
    </row>
    <row r="545" spans="2:6" ht="14.45" x14ac:dyDescent="0.35">
      <c r="B545" s="31" t="s">
        <v>2049</v>
      </c>
      <c r="C545" s="31" t="s">
        <v>2050</v>
      </c>
      <c r="D545" s="31" t="s">
        <v>2051</v>
      </c>
      <c r="E545" s="35">
        <f>LEN(Tabla1[[#This Row],[Partida]])</f>
        <v>7</v>
      </c>
      <c r="F545" s="35" t="str">
        <f>Tabla1[[#This Row],[Partida]]&amp;" : "&amp;Tabla1[[#This Row],[Descripción larga]]</f>
        <v>Q-08-03 : SERVICIOS PROFESIONALES - INSTALACIONES - SUBESTACION SECUNDARIA</v>
      </c>
    </row>
    <row r="546" spans="2:6" ht="14.45" x14ac:dyDescent="0.35">
      <c r="B546" s="31" t="s">
        <v>2052</v>
      </c>
      <c r="C546" s="31" t="s">
        <v>2053</v>
      </c>
      <c r="D546" s="31" t="s">
        <v>2054</v>
      </c>
      <c r="E546" s="35">
        <f>LEN(Tabla1[[#This Row],[Partida]])</f>
        <v>7</v>
      </c>
      <c r="F546" s="35" t="str">
        <f>Tabla1[[#This Row],[Partida]]&amp;" : "&amp;Tabla1[[#This Row],[Descripción larga]]</f>
        <v>Q-08-04 : SUBCONTRATOS - INSTALACIONES - SUBESTACION SECUNDARIA</v>
      </c>
    </row>
    <row r="547" spans="2:6" ht="14.45" x14ac:dyDescent="0.35">
      <c r="B547" s="31" t="s">
        <v>2055</v>
      </c>
      <c r="C547" s="31" t="s">
        <v>2055</v>
      </c>
      <c r="D547" s="31" t="s">
        <v>2056</v>
      </c>
      <c r="E547" s="35">
        <f>LEN(Tabla1[[#This Row],[Partida]])</f>
        <v>1</v>
      </c>
      <c r="F547" s="35" t="str">
        <f>Tabla1[[#This Row],[Partida]]&amp;" : "&amp;Tabla1[[#This Row],[Descripción larga]]</f>
        <v>R : TALLER BODEGAS - CENTRO DISTRIBUCION</v>
      </c>
    </row>
    <row r="548" spans="2:6" ht="14.45" x14ac:dyDescent="0.35">
      <c r="B548" s="31" t="s">
        <v>2057</v>
      </c>
      <c r="C548" s="31" t="s">
        <v>2058</v>
      </c>
      <c r="D548" s="31" t="s">
        <v>2059</v>
      </c>
      <c r="E548" s="35">
        <f>LEN(Tabla1[[#This Row],[Partida]])</f>
        <v>4</v>
      </c>
      <c r="F548" s="35" t="str">
        <f>Tabla1[[#This Row],[Partida]]&amp;" : "&amp;Tabla1[[#This Row],[Descripción larga]]</f>
        <v>R-01 : CIMENTACION - TALLER BODEGAS</v>
      </c>
    </row>
    <row r="549" spans="2:6" ht="14.45" x14ac:dyDescent="0.35">
      <c r="B549" s="31" t="s">
        <v>2060</v>
      </c>
      <c r="C549" s="31" t="s">
        <v>2061</v>
      </c>
      <c r="D549" s="31" t="s">
        <v>2062</v>
      </c>
      <c r="E549" s="35">
        <f>LEN(Tabla1[[#This Row],[Partida]])</f>
        <v>7</v>
      </c>
      <c r="F549" s="35" t="str">
        <f>Tabla1[[#This Row],[Partida]]&amp;" : "&amp;Tabla1[[#This Row],[Descripción larga]]</f>
        <v>R-01-01 : MATERIALES, HERR Y EQ - CIMENTACION - TALLER BODEGAS</v>
      </c>
    </row>
    <row r="550" spans="2:6" ht="14.45" x14ac:dyDescent="0.35">
      <c r="B550" s="31" t="s">
        <v>2063</v>
      </c>
      <c r="C550" s="31" t="s">
        <v>2064</v>
      </c>
      <c r="D550" s="31" t="s">
        <v>2065</v>
      </c>
      <c r="E550" s="35">
        <f>LEN(Tabla1[[#This Row],[Partida]])</f>
        <v>7</v>
      </c>
      <c r="F550" s="35" t="str">
        <f>Tabla1[[#This Row],[Partida]]&amp;" : "&amp;Tabla1[[#This Row],[Descripción larga]]</f>
        <v>R-01-02 : MO - CIMENTACION - TALLER BODEGAS</v>
      </c>
    </row>
    <row r="551" spans="2:6" ht="14.45" x14ac:dyDescent="0.35">
      <c r="B551" s="31" t="s">
        <v>2066</v>
      </c>
      <c r="C551" s="31" t="s">
        <v>2067</v>
      </c>
      <c r="D551" s="31" t="s">
        <v>2068</v>
      </c>
      <c r="E551" s="35">
        <f>LEN(Tabla1[[#This Row],[Partida]])</f>
        <v>7</v>
      </c>
      <c r="F551" s="35" t="str">
        <f>Tabla1[[#This Row],[Partida]]&amp;" : "&amp;Tabla1[[#This Row],[Descripción larga]]</f>
        <v>R-01-03 : SUBCONTRATOS - CIMENTACION - TALLER BODEGAS</v>
      </c>
    </row>
    <row r="552" spans="2:6" ht="14.45" x14ac:dyDescent="0.35">
      <c r="B552" s="31" t="s">
        <v>2069</v>
      </c>
      <c r="C552" s="31" t="s">
        <v>2070</v>
      </c>
      <c r="D552" s="31" t="s">
        <v>2071</v>
      </c>
      <c r="E552" s="35">
        <f>LEN(Tabla1[[#This Row],[Partida]])</f>
        <v>4</v>
      </c>
      <c r="F552" s="35" t="str">
        <f>Tabla1[[#This Row],[Partida]]&amp;" : "&amp;Tabla1[[#This Row],[Descripción larga]]</f>
        <v>R-02 : ALBAÑILERIAS - TALLER BODEGAS</v>
      </c>
    </row>
    <row r="553" spans="2:6" ht="14.45" x14ac:dyDescent="0.35">
      <c r="B553" s="31" t="s">
        <v>2072</v>
      </c>
      <c r="C553" s="31" t="s">
        <v>2073</v>
      </c>
      <c r="D553" s="31" t="s">
        <v>2074</v>
      </c>
      <c r="E553" s="35">
        <f>LEN(Tabla1[[#This Row],[Partida]])</f>
        <v>7</v>
      </c>
      <c r="F553" s="35" t="str">
        <f>Tabla1[[#This Row],[Partida]]&amp;" : "&amp;Tabla1[[#This Row],[Descripción larga]]</f>
        <v>R-02-01 : MATERIALES, HERR Y EQ - ALBAÑILERIAS - TALLER BODEGAS</v>
      </c>
    </row>
    <row r="554" spans="2:6" ht="14.45" x14ac:dyDescent="0.35">
      <c r="B554" s="31" t="s">
        <v>2075</v>
      </c>
      <c r="C554" s="31" t="s">
        <v>2076</v>
      </c>
      <c r="D554" s="31" t="s">
        <v>2077</v>
      </c>
      <c r="E554" s="35">
        <f>LEN(Tabla1[[#This Row],[Partida]])</f>
        <v>7</v>
      </c>
      <c r="F554" s="35" t="str">
        <f>Tabla1[[#This Row],[Partida]]&amp;" : "&amp;Tabla1[[#This Row],[Descripción larga]]</f>
        <v>R-02-02 : MO - ALBAÑILERIAS - TALLER BODEGAS</v>
      </c>
    </row>
    <row r="555" spans="2:6" ht="14.45" x14ac:dyDescent="0.35">
      <c r="B555" s="31" t="s">
        <v>2078</v>
      </c>
      <c r="C555" s="31" t="s">
        <v>2079</v>
      </c>
      <c r="D555" s="31" t="s">
        <v>2080</v>
      </c>
      <c r="E555" s="35">
        <f>LEN(Tabla1[[#This Row],[Partida]])</f>
        <v>7</v>
      </c>
      <c r="F555" s="35" t="str">
        <f>Tabla1[[#This Row],[Partida]]&amp;" : "&amp;Tabla1[[#This Row],[Descripción larga]]</f>
        <v>R-02-03 : SUBCONTRATOS - ALBAÑILERIAS - TALLER BODEGAS</v>
      </c>
    </row>
    <row r="556" spans="2:6" ht="14.45" x14ac:dyDescent="0.35">
      <c r="B556" s="31" t="s">
        <v>2081</v>
      </c>
      <c r="C556" s="31" t="s">
        <v>2082</v>
      </c>
      <c r="D556" s="31" t="s">
        <v>2083</v>
      </c>
      <c r="E556" s="35">
        <f>LEN(Tabla1[[#This Row],[Partida]])</f>
        <v>4</v>
      </c>
      <c r="F556" s="35" t="str">
        <f>Tabla1[[#This Row],[Partida]]&amp;" : "&amp;Tabla1[[#This Row],[Descripción larga]]</f>
        <v>R-03 : ESTRUCTURA METALICA - TALLER BODEGAS</v>
      </c>
    </row>
    <row r="557" spans="2:6" ht="14.45" x14ac:dyDescent="0.35">
      <c r="B557" s="31" t="s">
        <v>2084</v>
      </c>
      <c r="C557" s="31" t="s">
        <v>2085</v>
      </c>
      <c r="D557" s="31" t="s">
        <v>2086</v>
      </c>
      <c r="E557" s="35">
        <f>LEN(Tabla1[[#This Row],[Partida]])</f>
        <v>7</v>
      </c>
      <c r="F557" s="35" t="str">
        <f>Tabla1[[#This Row],[Partida]]&amp;" : "&amp;Tabla1[[#This Row],[Descripción larga]]</f>
        <v>R-03-01 : SUBCONTRATOS - ESTRUCTURA METALICA - TALLER BODEGAS</v>
      </c>
    </row>
    <row r="558" spans="2:6" ht="14.45" x14ac:dyDescent="0.35">
      <c r="B558" s="31" t="s">
        <v>2087</v>
      </c>
      <c r="C558" s="31" t="s">
        <v>2088</v>
      </c>
      <c r="D558" s="31" t="s">
        <v>2089</v>
      </c>
      <c r="E558" s="35">
        <f>LEN(Tabla1[[#This Row],[Partida]])</f>
        <v>4</v>
      </c>
      <c r="F558" s="35" t="str">
        <f>Tabla1[[#This Row],[Partida]]&amp;" : "&amp;Tabla1[[#This Row],[Descripción larga]]</f>
        <v>R-04 : TECHUMBRE O CUBIERTAS - TALLER BODEGAS</v>
      </c>
    </row>
    <row r="559" spans="2:6" ht="14.45" x14ac:dyDescent="0.35">
      <c r="B559" s="31" t="s">
        <v>2090</v>
      </c>
      <c r="C559" s="31" t="s">
        <v>2091</v>
      </c>
      <c r="D559" s="31" t="s">
        <v>2092</v>
      </c>
      <c r="E559" s="35">
        <f>LEN(Tabla1[[#This Row],[Partida]])</f>
        <v>7</v>
      </c>
      <c r="F559" s="35" t="str">
        <f>Tabla1[[#This Row],[Partida]]&amp;" : "&amp;Tabla1[[#This Row],[Descripción larga]]</f>
        <v>R-04-01 : SUBCONTRATOS - CUBIERTAS - TALLER BODEGAS</v>
      </c>
    </row>
    <row r="560" spans="2:6" ht="14.45" x14ac:dyDescent="0.35">
      <c r="B560" s="31" t="s">
        <v>2093</v>
      </c>
      <c r="C560" s="31" t="s">
        <v>2094</v>
      </c>
      <c r="D560" s="31" t="s">
        <v>2095</v>
      </c>
      <c r="E560" s="35">
        <f>LEN(Tabla1[[#This Row],[Partida]])</f>
        <v>4</v>
      </c>
      <c r="F560" s="35" t="str">
        <f>Tabla1[[#This Row],[Partida]]&amp;" : "&amp;Tabla1[[#This Row],[Descripción larga]]</f>
        <v>R-05 : INSTALACIONES - TALLER BODEGAS</v>
      </c>
    </row>
    <row r="561" spans="2:6" ht="14.45" x14ac:dyDescent="0.35">
      <c r="B561" s="31" t="s">
        <v>2096</v>
      </c>
      <c r="C561" s="31" t="s">
        <v>2097</v>
      </c>
      <c r="D561" s="31" t="s">
        <v>2098</v>
      </c>
      <c r="E561" s="35">
        <f>LEN(Tabla1[[#This Row],[Partida]])</f>
        <v>7</v>
      </c>
      <c r="F561" s="35" t="str">
        <f>Tabla1[[#This Row],[Partida]]&amp;" : "&amp;Tabla1[[#This Row],[Descripción larga]]</f>
        <v>R-05-01 : SUBCONTRATOS - INSTALACIONES - TALLER BODEGAS</v>
      </c>
    </row>
    <row r="562" spans="2:6" ht="14.45" x14ac:dyDescent="0.35">
      <c r="B562" s="31" t="s">
        <v>2099</v>
      </c>
      <c r="C562" s="31" t="s">
        <v>2099</v>
      </c>
      <c r="D562" s="31" t="s">
        <v>2100</v>
      </c>
      <c r="E562" s="35">
        <f>LEN(Tabla1[[#This Row],[Partida]])</f>
        <v>1</v>
      </c>
      <c r="F562" s="35" t="str">
        <f>Tabla1[[#This Row],[Partida]]&amp;" : "&amp;Tabla1[[#This Row],[Descripción larga]]</f>
        <v>S : CUARTO LAGUNA - CENTRO DISTRIBUCION</v>
      </c>
    </row>
    <row r="563" spans="2:6" ht="14.45" x14ac:dyDescent="0.35">
      <c r="B563" s="31" t="s">
        <v>2101</v>
      </c>
      <c r="C563" s="31" t="s">
        <v>2102</v>
      </c>
      <c r="D563" s="31" t="s">
        <v>2103</v>
      </c>
      <c r="E563" s="35">
        <f>LEN(Tabla1[[#This Row],[Partida]])</f>
        <v>4</v>
      </c>
      <c r="F563" s="35" t="str">
        <f>Tabla1[[#This Row],[Partida]]&amp;" : "&amp;Tabla1[[#This Row],[Descripción larga]]</f>
        <v>S-01 : CIMENTACION - CTO LAGUNA</v>
      </c>
    </row>
    <row r="564" spans="2:6" ht="14.45" x14ac:dyDescent="0.35">
      <c r="B564" s="31" t="s">
        <v>2104</v>
      </c>
      <c r="C564" s="31" t="s">
        <v>2105</v>
      </c>
      <c r="D564" s="31" t="s">
        <v>2106</v>
      </c>
      <c r="E564" s="35">
        <f>LEN(Tabla1[[#This Row],[Partida]])</f>
        <v>7</v>
      </c>
      <c r="F564" s="35" t="str">
        <f>Tabla1[[#This Row],[Partida]]&amp;" : "&amp;Tabla1[[#This Row],[Descripción larga]]</f>
        <v>S-01-01 : MATERIALES, HERR Y EQ - CIMENTACION - CTO LAGUNA</v>
      </c>
    </row>
    <row r="565" spans="2:6" ht="14.45" x14ac:dyDescent="0.35">
      <c r="B565" s="31" t="s">
        <v>2107</v>
      </c>
      <c r="C565" s="31" t="s">
        <v>2108</v>
      </c>
      <c r="D565" s="31" t="s">
        <v>2109</v>
      </c>
      <c r="E565" s="35">
        <f>LEN(Tabla1[[#This Row],[Partida]])</f>
        <v>7</v>
      </c>
      <c r="F565" s="35" t="str">
        <f>Tabla1[[#This Row],[Partida]]&amp;" : "&amp;Tabla1[[#This Row],[Descripción larga]]</f>
        <v>S-01-02 : MO - CIMENTACION - CTO LAGUNA</v>
      </c>
    </row>
    <row r="566" spans="2:6" ht="14.45" x14ac:dyDescent="0.35">
      <c r="B566" s="31" t="s">
        <v>2110</v>
      </c>
      <c r="C566" s="31" t="s">
        <v>2111</v>
      </c>
      <c r="D566" s="31" t="s">
        <v>2112</v>
      </c>
      <c r="E566" s="35">
        <f>LEN(Tabla1[[#This Row],[Partida]])</f>
        <v>7</v>
      </c>
      <c r="F566" s="35" t="str">
        <f>Tabla1[[#This Row],[Partida]]&amp;" : "&amp;Tabla1[[#This Row],[Descripción larga]]</f>
        <v>S-01-03 : SUBCONTRATOS - CIMENTACION - CTO LAGUNA</v>
      </c>
    </row>
    <row r="567" spans="2:6" ht="14.45" x14ac:dyDescent="0.35">
      <c r="B567" s="31" t="s">
        <v>2113</v>
      </c>
      <c r="C567" s="31" t="s">
        <v>2114</v>
      </c>
      <c r="D567" s="31" t="s">
        <v>2115</v>
      </c>
      <c r="E567" s="35">
        <f>LEN(Tabla1[[#This Row],[Partida]])</f>
        <v>4</v>
      </c>
      <c r="F567" s="35" t="str">
        <f>Tabla1[[#This Row],[Partida]]&amp;" : "&amp;Tabla1[[#This Row],[Descripción larga]]</f>
        <v>S-02 : PISOS - CTO LAGUNA</v>
      </c>
    </row>
    <row r="568" spans="2:6" ht="14.45" x14ac:dyDescent="0.35">
      <c r="B568" s="31" t="s">
        <v>2116</v>
      </c>
      <c r="C568" s="31" t="s">
        <v>2117</v>
      </c>
      <c r="D568" s="31" t="s">
        <v>2118</v>
      </c>
      <c r="E568" s="35">
        <f>LEN(Tabla1[[#This Row],[Partida]])</f>
        <v>7</v>
      </c>
      <c r="F568" s="35" t="str">
        <f>Tabla1[[#This Row],[Partida]]&amp;" : "&amp;Tabla1[[#This Row],[Descripción larga]]</f>
        <v>S-02-01 : MATERIALES, HERR Y EQ - PISOS - CTO LAGUNA</v>
      </c>
    </row>
    <row r="569" spans="2:6" ht="14.45" x14ac:dyDescent="0.35">
      <c r="B569" s="31" t="s">
        <v>2119</v>
      </c>
      <c r="C569" s="31" t="s">
        <v>2120</v>
      </c>
      <c r="D569" s="31" t="s">
        <v>2121</v>
      </c>
      <c r="E569" s="35">
        <f>LEN(Tabla1[[#This Row],[Partida]])</f>
        <v>7</v>
      </c>
      <c r="F569" s="35" t="str">
        <f>Tabla1[[#This Row],[Partida]]&amp;" : "&amp;Tabla1[[#This Row],[Descripción larga]]</f>
        <v>S-02-02 : MO - PISOS - CTO LAGUNA</v>
      </c>
    </row>
    <row r="570" spans="2:6" ht="14.45" x14ac:dyDescent="0.35">
      <c r="B570" s="31" t="s">
        <v>2122</v>
      </c>
      <c r="C570" s="31" t="s">
        <v>2123</v>
      </c>
      <c r="D570" s="31" t="s">
        <v>2124</v>
      </c>
      <c r="E570" s="35">
        <f>LEN(Tabla1[[#This Row],[Partida]])</f>
        <v>7</v>
      </c>
      <c r="F570" s="35" t="str">
        <f>Tabla1[[#This Row],[Partida]]&amp;" : "&amp;Tabla1[[#This Row],[Descripción larga]]</f>
        <v>S-02-03 : SERVICIOS PROFESIONALES - PISOS - CTO LAGUNA</v>
      </c>
    </row>
    <row r="571" spans="2:6" ht="14.45" x14ac:dyDescent="0.35">
      <c r="B571" s="31" t="s">
        <v>2125</v>
      </c>
      <c r="C571" s="31" t="s">
        <v>2126</v>
      </c>
      <c r="D571" s="31" t="s">
        <v>2127</v>
      </c>
      <c r="E571" s="35">
        <f>LEN(Tabla1[[#This Row],[Partida]])</f>
        <v>4</v>
      </c>
      <c r="F571" s="35" t="str">
        <f>Tabla1[[#This Row],[Partida]]&amp;" : "&amp;Tabla1[[#This Row],[Descripción larga]]</f>
        <v>S-03 : ALBAÑILERIAS - CTO LAGUNA</v>
      </c>
    </row>
    <row r="572" spans="2:6" ht="14.45" x14ac:dyDescent="0.35">
      <c r="B572" s="31" t="s">
        <v>2128</v>
      </c>
      <c r="C572" s="31" t="s">
        <v>2129</v>
      </c>
      <c r="D572" s="31" t="s">
        <v>2130</v>
      </c>
      <c r="E572" s="35">
        <f>LEN(Tabla1[[#This Row],[Partida]])</f>
        <v>7</v>
      </c>
      <c r="F572" s="35" t="str">
        <f>Tabla1[[#This Row],[Partida]]&amp;" : "&amp;Tabla1[[#This Row],[Descripción larga]]</f>
        <v>S-03-01 : MATERIALES, HERR Y EQ - ALBAÑILERIAS - CTO LAGUNA</v>
      </c>
    </row>
    <row r="573" spans="2:6" ht="14.45" x14ac:dyDescent="0.35">
      <c r="B573" s="31" t="s">
        <v>2131</v>
      </c>
      <c r="C573" s="31" t="s">
        <v>2132</v>
      </c>
      <c r="D573" s="31" t="s">
        <v>2133</v>
      </c>
      <c r="E573" s="35">
        <f>LEN(Tabla1[[#This Row],[Partida]])</f>
        <v>7</v>
      </c>
      <c r="F573" s="35" t="str">
        <f>Tabla1[[#This Row],[Partida]]&amp;" : "&amp;Tabla1[[#This Row],[Descripción larga]]</f>
        <v>S-03-02 : MO - ALBAÑILERIAS - CTO LAGUNA</v>
      </c>
    </row>
    <row r="574" spans="2:6" ht="14.45" x14ac:dyDescent="0.35">
      <c r="B574" s="31" t="s">
        <v>2134</v>
      </c>
      <c r="C574" s="31" t="s">
        <v>2135</v>
      </c>
      <c r="D574" s="31" t="s">
        <v>2136</v>
      </c>
      <c r="E574" s="35">
        <f>LEN(Tabla1[[#This Row],[Partida]])</f>
        <v>7</v>
      </c>
      <c r="F574" s="35" t="str">
        <f>Tabla1[[#This Row],[Partida]]&amp;" : "&amp;Tabla1[[#This Row],[Descripción larga]]</f>
        <v>S-03-03 : SUBCONTRATOS - ALBAÑILERIAS - CTO LAGUNA</v>
      </c>
    </row>
    <row r="575" spans="2:6" ht="14.45" x14ac:dyDescent="0.35">
      <c r="B575" s="31" t="s">
        <v>2137</v>
      </c>
      <c r="C575" s="31" t="s">
        <v>2138</v>
      </c>
      <c r="D575" s="31" t="s">
        <v>2139</v>
      </c>
      <c r="E575" s="35">
        <f>LEN(Tabla1[[#This Row],[Partida]])</f>
        <v>4</v>
      </c>
      <c r="F575" s="35" t="str">
        <f>Tabla1[[#This Row],[Partida]]&amp;" : "&amp;Tabla1[[#This Row],[Descripción larga]]</f>
        <v>S-04 : ACABADOS - CTO LAGUNA</v>
      </c>
    </row>
    <row r="576" spans="2:6" ht="14.45" x14ac:dyDescent="0.35">
      <c r="B576" s="31" t="s">
        <v>2140</v>
      </c>
      <c r="C576" s="31" t="s">
        <v>2141</v>
      </c>
      <c r="D576" s="31" t="s">
        <v>2142</v>
      </c>
      <c r="E576" s="35">
        <f>LEN(Tabla1[[#This Row],[Partida]])</f>
        <v>7</v>
      </c>
      <c r="F576" s="35" t="str">
        <f>Tabla1[[#This Row],[Partida]]&amp;" : "&amp;Tabla1[[#This Row],[Descripción larga]]</f>
        <v>S-04-01 : SERVICIOS PROFESIONALES - ACABADOS - CTO LAGUNA</v>
      </c>
    </row>
    <row r="577" spans="2:6" ht="14.45" x14ac:dyDescent="0.35">
      <c r="B577" s="31" t="s">
        <v>2143</v>
      </c>
      <c r="C577" s="31" t="s">
        <v>2144</v>
      </c>
      <c r="D577" s="31" t="s">
        <v>2145</v>
      </c>
      <c r="E577" s="35">
        <f>LEN(Tabla1[[#This Row],[Partida]])</f>
        <v>7</v>
      </c>
      <c r="F577" s="35" t="str">
        <f>Tabla1[[#This Row],[Partida]]&amp;" : "&amp;Tabla1[[#This Row],[Descripción larga]]</f>
        <v>S-04-02 : SUBCONTRATOS -ACABADOS - CTO LAGUNA</v>
      </c>
    </row>
    <row r="578" spans="2:6" ht="14.45" x14ac:dyDescent="0.35">
      <c r="B578" s="31" t="s">
        <v>2146</v>
      </c>
      <c r="C578" s="31" t="s">
        <v>2147</v>
      </c>
      <c r="D578" s="31" t="s">
        <v>2148</v>
      </c>
      <c r="E578" s="35">
        <f>LEN(Tabla1[[#This Row],[Partida]])</f>
        <v>4</v>
      </c>
      <c r="F578" s="35" t="str">
        <f>Tabla1[[#This Row],[Partida]]&amp;" : "&amp;Tabla1[[#This Row],[Descripción larga]]</f>
        <v>S-05 : ESTRUCTURA METALICA - CTO LAGUNA</v>
      </c>
    </row>
    <row r="579" spans="2:6" ht="14.45" x14ac:dyDescent="0.35">
      <c r="B579" s="31" t="s">
        <v>2149</v>
      </c>
      <c r="C579" s="31" t="s">
        <v>2150</v>
      </c>
      <c r="D579" s="31" t="s">
        <v>2151</v>
      </c>
      <c r="E579" s="35">
        <f>LEN(Tabla1[[#This Row],[Partida]])</f>
        <v>7</v>
      </c>
      <c r="F579" s="35" t="str">
        <f>Tabla1[[#This Row],[Partida]]&amp;" : "&amp;Tabla1[[#This Row],[Descripción larga]]</f>
        <v>S-05-01 : SUBCONTRATOS - ESTRUCTURA METALICA - CTO LAGUNA</v>
      </c>
    </row>
    <row r="580" spans="2:6" ht="14.45" x14ac:dyDescent="0.35">
      <c r="B580" s="31" t="s">
        <v>2152</v>
      </c>
      <c r="C580" s="31" t="s">
        <v>2153</v>
      </c>
      <c r="D580" s="31" t="s">
        <v>2154</v>
      </c>
      <c r="E580" s="35">
        <f>LEN(Tabla1[[#This Row],[Partida]])</f>
        <v>4</v>
      </c>
      <c r="F580" s="35" t="str">
        <f>Tabla1[[#This Row],[Partida]]&amp;" : "&amp;Tabla1[[#This Row],[Descripción larga]]</f>
        <v>S-06 : TECHUMBRE O CUBIERTAS - CTO LAGUNA</v>
      </c>
    </row>
    <row r="581" spans="2:6" ht="14.45" x14ac:dyDescent="0.35">
      <c r="B581" s="31" t="s">
        <v>2155</v>
      </c>
      <c r="C581" s="31" t="s">
        <v>2156</v>
      </c>
      <c r="D581" s="31" t="s">
        <v>2157</v>
      </c>
      <c r="E581" s="35">
        <f>LEN(Tabla1[[#This Row],[Partida]])</f>
        <v>7</v>
      </c>
      <c r="F581" s="35" t="str">
        <f>Tabla1[[#This Row],[Partida]]&amp;" : "&amp;Tabla1[[#This Row],[Descripción larga]]</f>
        <v>S-06-01 : SUBCONTRATOS - CUBIERTAS - CTO LAGUNA</v>
      </c>
    </row>
    <row r="582" spans="2:6" ht="14.45" x14ac:dyDescent="0.35">
      <c r="B582" s="31" t="s">
        <v>2158</v>
      </c>
      <c r="C582" s="31" t="s">
        <v>2159</v>
      </c>
      <c r="D582" s="31" t="s">
        <v>2160</v>
      </c>
      <c r="E582" s="35">
        <f>LEN(Tabla1[[#This Row],[Partida]])</f>
        <v>4</v>
      </c>
      <c r="F582" s="35" t="str">
        <f>Tabla1[[#This Row],[Partida]]&amp;" : "&amp;Tabla1[[#This Row],[Descripción larga]]</f>
        <v>S-07 : INSTALACIONES - CTO LAGUNA</v>
      </c>
    </row>
    <row r="583" spans="2:6" ht="14.45" x14ac:dyDescent="0.35">
      <c r="B583" s="31" t="s">
        <v>2161</v>
      </c>
      <c r="C583" s="31" t="s">
        <v>2162</v>
      </c>
      <c r="D583" s="31" t="s">
        <v>2163</v>
      </c>
      <c r="E583" s="35">
        <f>LEN(Tabla1[[#This Row],[Partida]])</f>
        <v>7</v>
      </c>
      <c r="F583" s="35" t="str">
        <f>Tabla1[[#This Row],[Partida]]&amp;" : "&amp;Tabla1[[#This Row],[Descripción larga]]</f>
        <v>S-07-01 : SUBCONTRATOS - INSTALACIONES - CTO LAGUNA</v>
      </c>
    </row>
    <row r="584" spans="2:6" ht="14.45" x14ac:dyDescent="0.35">
      <c r="B584" s="31" t="s">
        <v>2164</v>
      </c>
      <c r="C584" s="31" t="s">
        <v>2164</v>
      </c>
      <c r="D584" s="31" t="s">
        <v>2165</v>
      </c>
      <c r="E584" s="35">
        <f>LEN(Tabla1[[#This Row],[Partida]])</f>
        <v>1</v>
      </c>
      <c r="F584" s="35" t="str">
        <f>Tabla1[[#This Row],[Partida]]&amp;" : "&amp;Tabla1[[#This Row],[Descripción larga]]</f>
        <v>T : CUARTO BOMBAS PCI - CENTRO DISTRIBUCION</v>
      </c>
    </row>
    <row r="585" spans="2:6" ht="14.45" x14ac:dyDescent="0.35">
      <c r="B585" s="31" t="s">
        <v>2166</v>
      </c>
      <c r="C585" s="31" t="s">
        <v>2167</v>
      </c>
      <c r="D585" s="31" t="s">
        <v>2168</v>
      </c>
      <c r="E585" s="35">
        <f>LEN(Tabla1[[#This Row],[Partida]])</f>
        <v>4</v>
      </c>
      <c r="F585" s="35" t="str">
        <f>Tabla1[[#This Row],[Partida]]&amp;" : "&amp;Tabla1[[#This Row],[Descripción larga]]</f>
        <v>T-01 : CIMENTACION - CTO BOMBAS PCI</v>
      </c>
    </row>
    <row r="586" spans="2:6" ht="14.45" x14ac:dyDescent="0.35">
      <c r="B586" s="31" t="s">
        <v>2169</v>
      </c>
      <c r="C586" s="31" t="s">
        <v>2170</v>
      </c>
      <c r="D586" s="31" t="s">
        <v>2171</v>
      </c>
      <c r="E586" s="35">
        <f>LEN(Tabla1[[#This Row],[Partida]])</f>
        <v>7</v>
      </c>
      <c r="F586" s="35" t="str">
        <f>Tabla1[[#This Row],[Partida]]&amp;" : "&amp;Tabla1[[#This Row],[Descripción larga]]</f>
        <v>T-01-01 : MATERIALES, HERR Y EQ - CIMENTACION - CTO BOMBAS PCI</v>
      </c>
    </row>
    <row r="587" spans="2:6" ht="14.45" x14ac:dyDescent="0.35">
      <c r="B587" s="31" t="s">
        <v>2172</v>
      </c>
      <c r="C587" s="31" t="s">
        <v>2173</v>
      </c>
      <c r="D587" s="31" t="s">
        <v>2174</v>
      </c>
      <c r="E587" s="35">
        <f>LEN(Tabla1[[#This Row],[Partida]])</f>
        <v>7</v>
      </c>
      <c r="F587" s="35" t="str">
        <f>Tabla1[[#This Row],[Partida]]&amp;" : "&amp;Tabla1[[#This Row],[Descripción larga]]</f>
        <v>T-01-02 : MO - CIMENTACION - CTO BOMBAS PCI</v>
      </c>
    </row>
    <row r="588" spans="2:6" ht="14.45" x14ac:dyDescent="0.35">
      <c r="B588" s="31" t="s">
        <v>2175</v>
      </c>
      <c r="C588" s="31" t="s">
        <v>2176</v>
      </c>
      <c r="D588" s="31" t="s">
        <v>2177</v>
      </c>
      <c r="E588" s="35">
        <f>LEN(Tabla1[[#This Row],[Partida]])</f>
        <v>7</v>
      </c>
      <c r="F588" s="35" t="str">
        <f>Tabla1[[#This Row],[Partida]]&amp;" : "&amp;Tabla1[[#This Row],[Descripción larga]]</f>
        <v>T-01-03 : SUBCONTRATOS - CIMENTACION - CTO BOMBAS PCI</v>
      </c>
    </row>
    <row r="589" spans="2:6" ht="14.45" x14ac:dyDescent="0.35">
      <c r="B589" s="31" t="s">
        <v>2178</v>
      </c>
      <c r="C589" s="31" t="s">
        <v>2179</v>
      </c>
      <c r="D589" s="31" t="s">
        <v>2180</v>
      </c>
      <c r="E589" s="35">
        <f>LEN(Tabla1[[#This Row],[Partida]])</f>
        <v>4</v>
      </c>
      <c r="F589" s="35" t="str">
        <f>Tabla1[[#This Row],[Partida]]&amp;" : "&amp;Tabla1[[#This Row],[Descripción larga]]</f>
        <v>T-02 : PISOS - CTO BOMBAS PCI</v>
      </c>
    </row>
    <row r="590" spans="2:6" ht="14.45" x14ac:dyDescent="0.35">
      <c r="B590" s="31" t="s">
        <v>2181</v>
      </c>
      <c r="C590" s="31" t="s">
        <v>2182</v>
      </c>
      <c r="D590" s="31" t="s">
        <v>2183</v>
      </c>
      <c r="E590" s="35">
        <f>LEN(Tabla1[[#This Row],[Partida]])</f>
        <v>7</v>
      </c>
      <c r="F590" s="35" t="str">
        <f>Tabla1[[#This Row],[Partida]]&amp;" : "&amp;Tabla1[[#This Row],[Descripción larga]]</f>
        <v>T-02-01 : MATERIALES, HERR Y EQ - PISOS - CTO BOMBAS PCI</v>
      </c>
    </row>
    <row r="591" spans="2:6" ht="14.45" x14ac:dyDescent="0.35">
      <c r="B591" s="31" t="s">
        <v>2184</v>
      </c>
      <c r="C591" s="31" t="s">
        <v>2185</v>
      </c>
      <c r="D591" s="31" t="s">
        <v>2186</v>
      </c>
      <c r="E591" s="35">
        <f>LEN(Tabla1[[#This Row],[Partida]])</f>
        <v>7</v>
      </c>
      <c r="F591" s="35" t="str">
        <f>Tabla1[[#This Row],[Partida]]&amp;" : "&amp;Tabla1[[#This Row],[Descripción larga]]</f>
        <v>T-02-02 : MO - PISOS - CTO BOMBAS PCI</v>
      </c>
    </row>
    <row r="592" spans="2:6" ht="14.45" x14ac:dyDescent="0.35">
      <c r="B592" s="31" t="s">
        <v>2187</v>
      </c>
      <c r="C592" s="31" t="s">
        <v>2188</v>
      </c>
      <c r="D592" s="31" t="s">
        <v>2189</v>
      </c>
      <c r="E592" s="35">
        <f>LEN(Tabla1[[#This Row],[Partida]])</f>
        <v>7</v>
      </c>
      <c r="F592" s="35" t="str">
        <f>Tabla1[[#This Row],[Partida]]&amp;" : "&amp;Tabla1[[#This Row],[Descripción larga]]</f>
        <v>T-02-03 : SERVICIOS PROFESIONALES - PISOS - CTO BOMBAS PCI</v>
      </c>
    </row>
    <row r="593" spans="2:6" ht="14.45" x14ac:dyDescent="0.35">
      <c r="B593" s="31" t="s">
        <v>2190</v>
      </c>
      <c r="C593" s="31" t="s">
        <v>2191</v>
      </c>
      <c r="D593" s="31" t="s">
        <v>2192</v>
      </c>
      <c r="E593" s="35">
        <f>LEN(Tabla1[[#This Row],[Partida]])</f>
        <v>4</v>
      </c>
      <c r="F593" s="35" t="str">
        <f>Tabla1[[#This Row],[Partida]]&amp;" : "&amp;Tabla1[[#This Row],[Descripción larga]]</f>
        <v>T-03 : ALBAÑILERIAS - CTO BOMBAS PCI</v>
      </c>
    </row>
    <row r="594" spans="2:6" ht="14.45" x14ac:dyDescent="0.35">
      <c r="B594" s="31" t="s">
        <v>2193</v>
      </c>
      <c r="C594" s="31" t="s">
        <v>2194</v>
      </c>
      <c r="D594" s="31" t="s">
        <v>2195</v>
      </c>
      <c r="E594" s="35">
        <f>LEN(Tabla1[[#This Row],[Partida]])</f>
        <v>7</v>
      </c>
      <c r="F594" s="35" t="str">
        <f>Tabla1[[#This Row],[Partida]]&amp;" : "&amp;Tabla1[[#This Row],[Descripción larga]]</f>
        <v>T-03-01 : MATERIALES, HERR Y EQ - ALBAÑILERIAS - CTO BOMBAS PCI</v>
      </c>
    </row>
    <row r="595" spans="2:6" ht="14.45" x14ac:dyDescent="0.35">
      <c r="B595" s="31" t="s">
        <v>2196</v>
      </c>
      <c r="C595" s="31" t="s">
        <v>2197</v>
      </c>
      <c r="D595" s="31" t="s">
        <v>2198</v>
      </c>
      <c r="E595" s="35">
        <f>LEN(Tabla1[[#This Row],[Partida]])</f>
        <v>7</v>
      </c>
      <c r="F595" s="35" t="str">
        <f>Tabla1[[#This Row],[Partida]]&amp;" : "&amp;Tabla1[[#This Row],[Descripción larga]]</f>
        <v>T-03-02 : MO - ALBAÑILERIAS - CTO BOMBAS PCI</v>
      </c>
    </row>
    <row r="596" spans="2:6" ht="14.45" x14ac:dyDescent="0.35">
      <c r="B596" s="31" t="s">
        <v>2199</v>
      </c>
      <c r="C596" s="31" t="s">
        <v>2200</v>
      </c>
      <c r="D596" s="31" t="s">
        <v>2201</v>
      </c>
      <c r="E596" s="35">
        <f>LEN(Tabla1[[#This Row],[Partida]])</f>
        <v>7</v>
      </c>
      <c r="F596" s="35" t="str">
        <f>Tabla1[[#This Row],[Partida]]&amp;" : "&amp;Tabla1[[#This Row],[Descripción larga]]</f>
        <v>T-03-03 : SUBCONTRATOS - ALBAÑILERIAS - CTO BOMBAS PCI</v>
      </c>
    </row>
    <row r="597" spans="2:6" ht="14.45" x14ac:dyDescent="0.35">
      <c r="B597" s="31" t="s">
        <v>2202</v>
      </c>
      <c r="C597" s="31" t="s">
        <v>2203</v>
      </c>
      <c r="D597" s="31" t="s">
        <v>2204</v>
      </c>
      <c r="E597" s="35">
        <f>LEN(Tabla1[[#This Row],[Partida]])</f>
        <v>4</v>
      </c>
      <c r="F597" s="35" t="str">
        <f>Tabla1[[#This Row],[Partida]]&amp;" : "&amp;Tabla1[[#This Row],[Descripción larga]]</f>
        <v>T-04 : ACABADOS - CTO BOMBAS PCI</v>
      </c>
    </row>
    <row r="598" spans="2:6" ht="14.45" x14ac:dyDescent="0.35">
      <c r="B598" s="31" t="s">
        <v>2205</v>
      </c>
      <c r="C598" s="31" t="s">
        <v>2206</v>
      </c>
      <c r="D598" s="31" t="s">
        <v>2207</v>
      </c>
      <c r="E598" s="35">
        <f>LEN(Tabla1[[#This Row],[Partida]])</f>
        <v>7</v>
      </c>
      <c r="F598" s="35" t="str">
        <f>Tabla1[[#This Row],[Partida]]&amp;" : "&amp;Tabla1[[#This Row],[Descripción larga]]</f>
        <v>T-04-01 : SERVICIOS PROFESIONALES - ACABADOS - CTO BOMBAS PCI</v>
      </c>
    </row>
    <row r="599" spans="2:6" ht="14.45" x14ac:dyDescent="0.35">
      <c r="B599" s="31" t="s">
        <v>2208</v>
      </c>
      <c r="C599" s="31" t="s">
        <v>2209</v>
      </c>
      <c r="D599" s="31" t="s">
        <v>2210</v>
      </c>
      <c r="E599" s="35">
        <f>LEN(Tabla1[[#This Row],[Partida]])</f>
        <v>7</v>
      </c>
      <c r="F599" s="35" t="str">
        <f>Tabla1[[#This Row],[Partida]]&amp;" : "&amp;Tabla1[[#This Row],[Descripción larga]]</f>
        <v>T-04-02 : SUBCONTRATOS - ACABADOS - CTO BOMBAS PCI</v>
      </c>
    </row>
    <row r="600" spans="2:6" ht="14.45" x14ac:dyDescent="0.35">
      <c r="B600" s="31" t="s">
        <v>2211</v>
      </c>
      <c r="C600" s="31" t="s">
        <v>2212</v>
      </c>
      <c r="D600" s="31" t="s">
        <v>2213</v>
      </c>
      <c r="E600" s="35">
        <f>LEN(Tabla1[[#This Row],[Partida]])</f>
        <v>4</v>
      </c>
      <c r="F600" s="35" t="str">
        <f>Tabla1[[#This Row],[Partida]]&amp;" : "&amp;Tabla1[[#This Row],[Descripción larga]]</f>
        <v>T-05 : ESTRUCTURA METALICA - CTO BOMBAS PCI</v>
      </c>
    </row>
    <row r="601" spans="2:6" ht="14.45" x14ac:dyDescent="0.35">
      <c r="B601" s="31" t="s">
        <v>2214</v>
      </c>
      <c r="C601" s="31" t="s">
        <v>2215</v>
      </c>
      <c r="D601" s="31" t="s">
        <v>2216</v>
      </c>
      <c r="E601" s="35">
        <f>LEN(Tabla1[[#This Row],[Partida]])</f>
        <v>7</v>
      </c>
      <c r="F601" s="35" t="str">
        <f>Tabla1[[#This Row],[Partida]]&amp;" : "&amp;Tabla1[[#This Row],[Descripción larga]]</f>
        <v>T-05-01 : SUBCONTRATOS - ESTRUCTURA METALICA - CTO BOMBAS PCI</v>
      </c>
    </row>
    <row r="602" spans="2:6" ht="14.45" x14ac:dyDescent="0.35">
      <c r="B602" s="31" t="s">
        <v>2217</v>
      </c>
      <c r="C602" s="31" t="s">
        <v>2218</v>
      </c>
      <c r="D602" s="31" t="s">
        <v>2219</v>
      </c>
      <c r="E602" s="35">
        <f>LEN(Tabla1[[#This Row],[Partida]])</f>
        <v>4</v>
      </c>
      <c r="F602" s="35" t="str">
        <f>Tabla1[[#This Row],[Partida]]&amp;" : "&amp;Tabla1[[#This Row],[Descripción larga]]</f>
        <v>T-06 : TECHUMBRE O CUBIERTAS- CTO BOMBAS PCI</v>
      </c>
    </row>
    <row r="603" spans="2:6" ht="14.45" x14ac:dyDescent="0.35">
      <c r="B603" s="31" t="s">
        <v>2220</v>
      </c>
      <c r="C603" s="31" t="s">
        <v>2221</v>
      </c>
      <c r="D603" s="31" t="s">
        <v>2222</v>
      </c>
      <c r="E603" s="35">
        <f>LEN(Tabla1[[#This Row],[Partida]])</f>
        <v>7</v>
      </c>
      <c r="F603" s="35" t="str">
        <f>Tabla1[[#This Row],[Partida]]&amp;" : "&amp;Tabla1[[#This Row],[Descripción larga]]</f>
        <v>T-06-01 : SUBCONTRATOS - CUBIERTAS- CTO BOMBAS PCI</v>
      </c>
    </row>
    <row r="604" spans="2:6" ht="14.45" x14ac:dyDescent="0.35">
      <c r="B604" s="31" t="s">
        <v>2223</v>
      </c>
      <c r="C604" s="31" t="s">
        <v>2224</v>
      </c>
      <c r="D604" s="31" t="s">
        <v>2225</v>
      </c>
      <c r="E604" s="35">
        <f>LEN(Tabla1[[#This Row],[Partida]])</f>
        <v>4</v>
      </c>
      <c r="F604" s="35" t="str">
        <f>Tabla1[[#This Row],[Partida]]&amp;" : "&amp;Tabla1[[#This Row],[Descripción larga]]</f>
        <v>T-07 : LAMINA EN FACHADA - CTO BOMBAS PCI</v>
      </c>
    </row>
    <row r="605" spans="2:6" ht="14.45" x14ac:dyDescent="0.35">
      <c r="B605" s="31" t="s">
        <v>2226</v>
      </c>
      <c r="C605" s="31" t="s">
        <v>2227</v>
      </c>
      <c r="D605" s="31" t="s">
        <v>2228</v>
      </c>
      <c r="E605" s="35">
        <f>LEN(Tabla1[[#This Row],[Partida]])</f>
        <v>7</v>
      </c>
      <c r="F605" s="35" t="str">
        <f>Tabla1[[#This Row],[Partida]]&amp;" : "&amp;Tabla1[[#This Row],[Descripción larga]]</f>
        <v>T-07-01 : SUBCONTRATOS - LAMINA FACHADA - CTO BOMBAS PCI</v>
      </c>
    </row>
    <row r="606" spans="2:6" ht="14.45" x14ac:dyDescent="0.35">
      <c r="B606" s="31" t="s">
        <v>2229</v>
      </c>
      <c r="C606" s="31" t="s">
        <v>2230</v>
      </c>
      <c r="D606" s="31" t="s">
        <v>2231</v>
      </c>
      <c r="E606" s="35">
        <f>LEN(Tabla1[[#This Row],[Partida]])</f>
        <v>4</v>
      </c>
      <c r="F606" s="35" t="str">
        <f>Tabla1[[#This Row],[Partida]]&amp;" : "&amp;Tabla1[[#This Row],[Descripción larga]]</f>
        <v>T-08 : INSTALACIONES - CTO BOMBAS PCI</v>
      </c>
    </row>
    <row r="607" spans="2:6" ht="14.45" x14ac:dyDescent="0.35">
      <c r="B607" s="31" t="s">
        <v>2232</v>
      </c>
      <c r="C607" s="31" t="s">
        <v>2233</v>
      </c>
      <c r="D607" s="31" t="s">
        <v>2234</v>
      </c>
      <c r="E607" s="35">
        <f>LEN(Tabla1[[#This Row],[Partida]])</f>
        <v>7</v>
      </c>
      <c r="F607" s="35" t="str">
        <f>Tabla1[[#This Row],[Partida]]&amp;" : "&amp;Tabla1[[#This Row],[Descripción larga]]</f>
        <v>T-08-01 : SUBCONTRATOS - INSTALACIONES - CTO BOMBAS PCI</v>
      </c>
    </row>
    <row r="608" spans="2:6" ht="14.45" x14ac:dyDescent="0.35">
      <c r="B608" s="31" t="s">
        <v>2235</v>
      </c>
      <c r="C608" s="31" t="s">
        <v>2235</v>
      </c>
      <c r="D608" s="31" t="s">
        <v>2236</v>
      </c>
      <c r="E608" s="35">
        <f>LEN(Tabla1[[#This Row],[Partida]])</f>
        <v>1</v>
      </c>
      <c r="F608" s="35" t="str">
        <f>Tabla1[[#This Row],[Partida]]&amp;" : "&amp;Tabla1[[#This Row],[Descripción larga]]</f>
        <v>U : ESTACION CARBURACION - CENTRO DISTRIBUCION</v>
      </c>
    </row>
    <row r="609" spans="2:6" ht="14.45" x14ac:dyDescent="0.35">
      <c r="B609" s="31" t="s">
        <v>2237</v>
      </c>
      <c r="C609" s="31" t="s">
        <v>2238</v>
      </c>
      <c r="D609" s="31" t="s">
        <v>2239</v>
      </c>
      <c r="E609" s="35">
        <f>LEN(Tabla1[[#This Row],[Partida]])</f>
        <v>4</v>
      </c>
      <c r="F609" s="35" t="str">
        <f>Tabla1[[#This Row],[Partida]]&amp;" : "&amp;Tabla1[[#This Row],[Descripción larga]]</f>
        <v>U-01 : CIMENTACION - ESTACION CARBURACION</v>
      </c>
    </row>
    <row r="610" spans="2:6" ht="14.45" x14ac:dyDescent="0.35">
      <c r="B610" s="31" t="s">
        <v>2240</v>
      </c>
      <c r="C610" s="31" t="s">
        <v>2241</v>
      </c>
      <c r="D610" s="31" t="s">
        <v>2242</v>
      </c>
      <c r="E610" s="35">
        <f>LEN(Tabla1[[#This Row],[Partida]])</f>
        <v>7</v>
      </c>
      <c r="F610" s="35" t="str">
        <f>Tabla1[[#This Row],[Partida]]&amp;" : "&amp;Tabla1[[#This Row],[Descripción larga]]</f>
        <v>U-01-01 : MATERIALES, HERR Y EQ - CIMENTACION - ESTACION CARBURACION</v>
      </c>
    </row>
    <row r="611" spans="2:6" ht="14.45" x14ac:dyDescent="0.35">
      <c r="B611" s="31" t="s">
        <v>2243</v>
      </c>
      <c r="C611" s="31" t="s">
        <v>2244</v>
      </c>
      <c r="D611" s="31" t="s">
        <v>2245</v>
      </c>
      <c r="E611" s="35">
        <f>LEN(Tabla1[[#This Row],[Partida]])</f>
        <v>7</v>
      </c>
      <c r="F611" s="35" t="str">
        <f>Tabla1[[#This Row],[Partida]]&amp;" : "&amp;Tabla1[[#This Row],[Descripción larga]]</f>
        <v>U-01-02 : MO - CIMENTACION - ESTACION CARBURACION</v>
      </c>
    </row>
    <row r="612" spans="2:6" ht="14.45" x14ac:dyDescent="0.35">
      <c r="B612" s="31" t="s">
        <v>2246</v>
      </c>
      <c r="C612" s="31" t="s">
        <v>2247</v>
      </c>
      <c r="D612" s="31" t="s">
        <v>2248</v>
      </c>
      <c r="E612" s="35">
        <f>LEN(Tabla1[[#This Row],[Partida]])</f>
        <v>7</v>
      </c>
      <c r="F612" s="35" t="str">
        <f>Tabla1[[#This Row],[Partida]]&amp;" : "&amp;Tabla1[[#This Row],[Descripción larga]]</f>
        <v>U-01-03 : SUBCONTRATOS - CIMENTACION - ESTACION CARBURACION</v>
      </c>
    </row>
    <row r="613" spans="2:6" ht="14.45" x14ac:dyDescent="0.35">
      <c r="B613" s="31" t="s">
        <v>2249</v>
      </c>
      <c r="C613" s="31" t="s">
        <v>2250</v>
      </c>
      <c r="D613" s="31" t="s">
        <v>2251</v>
      </c>
      <c r="E613" s="35">
        <f>LEN(Tabla1[[#This Row],[Partida]])</f>
        <v>4</v>
      </c>
      <c r="F613" s="35" t="str">
        <f>Tabla1[[#This Row],[Partida]]&amp;" : "&amp;Tabla1[[#This Row],[Descripción larga]]</f>
        <v>U-02 : PISOS - ESTACION CARBURACION</v>
      </c>
    </row>
    <row r="614" spans="2:6" ht="14.45" x14ac:dyDescent="0.35">
      <c r="B614" s="31" t="s">
        <v>2252</v>
      </c>
      <c r="C614" s="31" t="s">
        <v>2253</v>
      </c>
      <c r="D614" s="31" t="s">
        <v>2254</v>
      </c>
      <c r="E614" s="35">
        <f>LEN(Tabla1[[#This Row],[Partida]])</f>
        <v>7</v>
      </c>
      <c r="F614" s="35" t="str">
        <f>Tabla1[[#This Row],[Partida]]&amp;" : "&amp;Tabla1[[#This Row],[Descripción larga]]</f>
        <v>U-02-01 : MATERIALES, HERR Y EQ - PISOS - ESTACION CARBURACION</v>
      </c>
    </row>
    <row r="615" spans="2:6" ht="14.45" x14ac:dyDescent="0.35">
      <c r="B615" s="31" t="s">
        <v>2255</v>
      </c>
      <c r="C615" s="31" t="s">
        <v>2256</v>
      </c>
      <c r="D615" s="31" t="s">
        <v>2257</v>
      </c>
      <c r="E615" s="35">
        <f>LEN(Tabla1[[#This Row],[Partida]])</f>
        <v>7</v>
      </c>
      <c r="F615" s="35" t="str">
        <f>Tabla1[[#This Row],[Partida]]&amp;" : "&amp;Tabla1[[#This Row],[Descripción larga]]</f>
        <v>U-02-02 : MO - PISOS - ESTACION CARBURACION</v>
      </c>
    </row>
    <row r="616" spans="2:6" ht="14.45" x14ac:dyDescent="0.35">
      <c r="B616" s="31" t="s">
        <v>2258</v>
      </c>
      <c r="C616" s="31" t="s">
        <v>2259</v>
      </c>
      <c r="D616" s="31" t="s">
        <v>2260</v>
      </c>
      <c r="E616" s="35">
        <f>LEN(Tabla1[[#This Row],[Partida]])</f>
        <v>7</v>
      </c>
      <c r="F616" s="35" t="str">
        <f>Tabla1[[#This Row],[Partida]]&amp;" : "&amp;Tabla1[[#This Row],[Descripción larga]]</f>
        <v>U-02-03 : SERVICISO PROFESIONALES - PISOS - ESTACION CARBURACION</v>
      </c>
    </row>
    <row r="617" spans="2:6" ht="14.45" x14ac:dyDescent="0.35">
      <c r="B617" s="31" t="s">
        <v>2261</v>
      </c>
      <c r="C617" s="31" t="s">
        <v>2262</v>
      </c>
      <c r="D617" s="31" t="s">
        <v>2263</v>
      </c>
      <c r="E617" s="35">
        <f>LEN(Tabla1[[#This Row],[Partida]])</f>
        <v>4</v>
      </c>
      <c r="F617" s="35" t="str">
        <f>Tabla1[[#This Row],[Partida]]&amp;" : "&amp;Tabla1[[#This Row],[Descripción larga]]</f>
        <v>U-03 : ACABADOS - ESTACION CARBURACION</v>
      </c>
    </row>
    <row r="618" spans="2:6" ht="14.45" x14ac:dyDescent="0.35">
      <c r="B618" s="31" t="s">
        <v>2264</v>
      </c>
      <c r="C618" s="31" t="s">
        <v>2265</v>
      </c>
      <c r="D618" s="31" t="s">
        <v>2266</v>
      </c>
      <c r="E618" s="35">
        <f>LEN(Tabla1[[#This Row],[Partida]])</f>
        <v>7</v>
      </c>
      <c r="F618" s="35" t="str">
        <f>Tabla1[[#This Row],[Partida]]&amp;" : "&amp;Tabla1[[#This Row],[Descripción larga]]</f>
        <v>U-03-01 : SERVICISO PROFESIONALES - ACABADOS - ESTACION CARBURACION</v>
      </c>
    </row>
    <row r="619" spans="2:6" ht="14.45" x14ac:dyDescent="0.35">
      <c r="B619" s="31" t="s">
        <v>2267</v>
      </c>
      <c r="C619" s="31" t="s">
        <v>2268</v>
      </c>
      <c r="D619" s="31" t="s">
        <v>2269</v>
      </c>
      <c r="E619" s="35">
        <f>LEN(Tabla1[[#This Row],[Partida]])</f>
        <v>4</v>
      </c>
      <c r="F619" s="35" t="str">
        <f>Tabla1[[#This Row],[Partida]]&amp;" : "&amp;Tabla1[[#This Row],[Descripción larga]]</f>
        <v>U-04 : ALBAÑILERIAS - ESTACION CARBURACION</v>
      </c>
    </row>
    <row r="620" spans="2:6" ht="14.45" x14ac:dyDescent="0.35">
      <c r="B620" s="31" t="s">
        <v>2270</v>
      </c>
      <c r="C620" s="31" t="s">
        <v>2271</v>
      </c>
      <c r="D620" s="31" t="s">
        <v>2272</v>
      </c>
      <c r="E620" s="35">
        <f>LEN(Tabla1[[#This Row],[Partida]])</f>
        <v>7</v>
      </c>
      <c r="F620" s="35" t="str">
        <f>Tabla1[[#This Row],[Partida]]&amp;" : "&amp;Tabla1[[#This Row],[Descripción larga]]</f>
        <v>U-04-01 : SUBCONTRATOS - ALBAÑILERIAS - ESTACION CARBURACION</v>
      </c>
    </row>
    <row r="621" spans="2:6" ht="14.45" x14ac:dyDescent="0.35">
      <c r="B621" s="31" t="s">
        <v>2273</v>
      </c>
      <c r="C621" s="31" t="s">
        <v>2274</v>
      </c>
      <c r="D621" s="31" t="s">
        <v>2275</v>
      </c>
      <c r="E621" s="35">
        <f>LEN(Tabla1[[#This Row],[Partida]])</f>
        <v>4</v>
      </c>
      <c r="F621" s="35" t="str">
        <f>Tabla1[[#This Row],[Partida]]&amp;" : "&amp;Tabla1[[#This Row],[Descripción larga]]</f>
        <v>U-05 : ESTRUCTURA METALICA - ESTACION CARBURACION</v>
      </c>
    </row>
    <row r="622" spans="2:6" ht="14.45" x14ac:dyDescent="0.35">
      <c r="B622" s="31" t="s">
        <v>2276</v>
      </c>
      <c r="C622" s="31" t="s">
        <v>2277</v>
      </c>
      <c r="D622" s="31" t="s">
        <v>2278</v>
      </c>
      <c r="E622" s="35">
        <f>LEN(Tabla1[[#This Row],[Partida]])</f>
        <v>7</v>
      </c>
      <c r="F622" s="35" t="str">
        <f>Tabla1[[#This Row],[Partida]]&amp;" : "&amp;Tabla1[[#This Row],[Descripción larga]]</f>
        <v>U-05-01 : SUBCONTRATOS - ESTRUCTURA METALICA - ESTACION CARBURACION</v>
      </c>
    </row>
    <row r="623" spans="2:6" ht="14.45" x14ac:dyDescent="0.35">
      <c r="B623" s="31" t="s">
        <v>2279</v>
      </c>
      <c r="C623" s="31" t="s">
        <v>2280</v>
      </c>
      <c r="D623" s="31" t="s">
        <v>2281</v>
      </c>
      <c r="E623" s="35">
        <f>LEN(Tabla1[[#This Row],[Partida]])</f>
        <v>4</v>
      </c>
      <c r="F623" s="35" t="str">
        <f>Tabla1[[#This Row],[Partida]]&amp;" : "&amp;Tabla1[[#This Row],[Descripción larga]]</f>
        <v>U-06 : TECHUMBRE O CUBIERTAS - ESTACION CARBURACION</v>
      </c>
    </row>
    <row r="624" spans="2:6" ht="14.45" x14ac:dyDescent="0.35">
      <c r="B624" s="31" t="s">
        <v>2282</v>
      </c>
      <c r="C624" s="31" t="s">
        <v>2283</v>
      </c>
      <c r="D624" s="31" t="s">
        <v>2284</v>
      </c>
      <c r="E624" s="35">
        <f>LEN(Tabla1[[#This Row],[Partida]])</f>
        <v>7</v>
      </c>
      <c r="F624" s="35" t="str">
        <f>Tabla1[[#This Row],[Partida]]&amp;" : "&amp;Tabla1[[#This Row],[Descripción larga]]</f>
        <v>U-06-01 : SUBCONTRATOS - CUBIERTAS - ESTACION CARBURACION</v>
      </c>
    </row>
    <row r="625" spans="2:6" ht="14.45" x14ac:dyDescent="0.35">
      <c r="B625" s="31" t="s">
        <v>2285</v>
      </c>
      <c r="C625" s="31" t="s">
        <v>2286</v>
      </c>
      <c r="D625" s="31" t="s">
        <v>2287</v>
      </c>
      <c r="E625" s="35">
        <f>LEN(Tabla1[[#This Row],[Partida]])</f>
        <v>4</v>
      </c>
      <c r="F625" s="35" t="str">
        <f>Tabla1[[#This Row],[Partida]]&amp;" : "&amp;Tabla1[[#This Row],[Descripción larga]]</f>
        <v>U-07 : INSTALACIONES - ESTACION CARBURACION</v>
      </c>
    </row>
    <row r="626" spans="2:6" ht="14.45" x14ac:dyDescent="0.35">
      <c r="B626" s="31" t="s">
        <v>2288</v>
      </c>
      <c r="C626" s="31" t="s">
        <v>2289</v>
      </c>
      <c r="D626" s="31" t="s">
        <v>2290</v>
      </c>
      <c r="E626" s="35">
        <f>LEN(Tabla1[[#This Row],[Partida]])</f>
        <v>7</v>
      </c>
      <c r="F626" s="35" t="str">
        <f>Tabla1[[#This Row],[Partida]]&amp;" : "&amp;Tabla1[[#This Row],[Descripción larga]]</f>
        <v>U-07-01 : SUBCONTRATOS - INSTALACIONES - ESTACION CARBURACION</v>
      </c>
    </row>
    <row r="627" spans="2:6" ht="14.45" x14ac:dyDescent="0.35">
      <c r="B627" s="31" t="s">
        <v>2291</v>
      </c>
      <c r="C627" s="31" t="s">
        <v>2291</v>
      </c>
      <c r="D627" s="31" t="s">
        <v>2292</v>
      </c>
      <c r="E627" s="35">
        <f>LEN(Tabla1[[#This Row],[Partida]])</f>
        <v>1</v>
      </c>
      <c r="F627" s="35" t="str">
        <f>Tabla1[[#This Row],[Partida]]&amp;" : "&amp;Tabla1[[#This Row],[Descripción larga]]</f>
        <v>V : BAE - CENTRO DISTRIBUCION</v>
      </c>
    </row>
    <row r="628" spans="2:6" ht="14.45" x14ac:dyDescent="0.35">
      <c r="B628" s="31" t="s">
        <v>2293</v>
      </c>
      <c r="C628" s="31" t="s">
        <v>2294</v>
      </c>
      <c r="D628" s="31" t="s">
        <v>2295</v>
      </c>
      <c r="E628" s="35">
        <f>LEN(Tabla1[[#This Row],[Partida]])</f>
        <v>4</v>
      </c>
      <c r="F628" s="35" t="str">
        <f>Tabla1[[#This Row],[Partida]]&amp;" : "&amp;Tabla1[[#This Row],[Descripción larga]]</f>
        <v>V-01 : SERVICIOS PROFESIONALES - BAE</v>
      </c>
    </row>
    <row r="629" spans="2:6" ht="14.45" x14ac:dyDescent="0.35">
      <c r="B629" s="31" t="s">
        <v>2296</v>
      </c>
      <c r="C629" s="31" t="s">
        <v>2296</v>
      </c>
      <c r="D629" s="31" t="s">
        <v>2297</v>
      </c>
      <c r="E629" s="35">
        <f>LEN(Tabla1[[#This Row],[Partida]])</f>
        <v>1</v>
      </c>
      <c r="F629" s="35" t="str">
        <f>Tabla1[[#This Row],[Partida]]&amp;" : "&amp;Tabla1[[#This Row],[Descripción larga]]</f>
        <v>W : PODIUM Y ANFITEATRO - CENTRO DISTRIBUCION</v>
      </c>
    </row>
    <row r="630" spans="2:6" ht="14.45" x14ac:dyDescent="0.35">
      <c r="B630" s="31" t="s">
        <v>2298</v>
      </c>
      <c r="C630" s="31" t="s">
        <v>2299</v>
      </c>
      <c r="D630" s="31" t="s">
        <v>2300</v>
      </c>
      <c r="E630" s="35">
        <f>LEN(Tabla1[[#This Row],[Partida]])</f>
        <v>4</v>
      </c>
      <c r="F630" s="35" t="str">
        <f>Tabla1[[#This Row],[Partida]]&amp;" : "&amp;Tabla1[[#This Row],[Descripción larga]]</f>
        <v>W-01 : MATERIALES, HERR Y EQ - PODIUM Y ANFITEATRO</v>
      </c>
    </row>
    <row r="631" spans="2:6" ht="14.45" x14ac:dyDescent="0.35">
      <c r="B631" s="31" t="s">
        <v>2301</v>
      </c>
      <c r="C631" s="31" t="s">
        <v>2302</v>
      </c>
      <c r="D631" s="31" t="s">
        <v>2303</v>
      </c>
      <c r="E631" s="35">
        <f>LEN(Tabla1[[#This Row],[Partida]])</f>
        <v>4</v>
      </c>
      <c r="F631" s="35" t="str">
        <f>Tabla1[[#This Row],[Partida]]&amp;" : "&amp;Tabla1[[#This Row],[Descripción larga]]</f>
        <v>W-02 : MO - PODIUM Y ANFITEATRO</v>
      </c>
    </row>
    <row r="632" spans="2:6" ht="14.45" x14ac:dyDescent="0.35">
      <c r="B632" s="31" t="s">
        <v>2304</v>
      </c>
      <c r="C632" s="31" t="s">
        <v>2305</v>
      </c>
      <c r="D632" s="31" t="s">
        <v>2306</v>
      </c>
      <c r="E632" s="35">
        <f>LEN(Tabla1[[#This Row],[Partida]])</f>
        <v>4</v>
      </c>
      <c r="F632" s="35" t="str">
        <f>Tabla1[[#This Row],[Partida]]&amp;" : "&amp;Tabla1[[#This Row],[Descripción larga]]</f>
        <v>W-03 : SERVICIOS PROFESIONALES - PODIUM Y ANFITEATRO</v>
      </c>
    </row>
    <row r="633" spans="2:6" ht="14.45" x14ac:dyDescent="0.35">
      <c r="B633" s="31" t="s">
        <v>2307</v>
      </c>
      <c r="C633" s="31" t="s">
        <v>2307</v>
      </c>
      <c r="D633" s="31" t="s">
        <v>2308</v>
      </c>
      <c r="E633" s="35">
        <f>LEN(Tabla1[[#This Row],[Partida]])</f>
        <v>1</v>
      </c>
      <c r="F633" s="35" t="str">
        <f>Tabla1[[#This Row],[Partida]]&amp;" : "&amp;Tabla1[[#This Row],[Descripción larga]]</f>
        <v>X : PLANTA DE TRATAMIENTO - CENTRO DISTRIBUCION</v>
      </c>
    </row>
    <row r="634" spans="2:6" ht="14.45" x14ac:dyDescent="0.35">
      <c r="B634" s="31" t="s">
        <v>2309</v>
      </c>
      <c r="C634" s="31" t="s">
        <v>2310</v>
      </c>
      <c r="D634" s="31" t="s">
        <v>2311</v>
      </c>
      <c r="E634" s="35">
        <f>LEN(Tabla1[[#This Row],[Partida]])</f>
        <v>4</v>
      </c>
      <c r="F634" s="35" t="str">
        <f>Tabla1[[#This Row],[Partida]]&amp;" : "&amp;Tabla1[[#This Row],[Descripción larga]]</f>
        <v>X-01 : MATERIALES, HERR Y EQ - PLANTA DE TRATAMIENTO</v>
      </c>
    </row>
    <row r="635" spans="2:6" ht="14.45" x14ac:dyDescent="0.35">
      <c r="B635" s="31" t="s">
        <v>2312</v>
      </c>
      <c r="C635" s="31" t="s">
        <v>2313</v>
      </c>
      <c r="D635" s="31" t="s">
        <v>2314</v>
      </c>
      <c r="E635" s="35">
        <f>LEN(Tabla1[[#This Row],[Partida]])</f>
        <v>4</v>
      </c>
      <c r="F635" s="35" t="str">
        <f>Tabla1[[#This Row],[Partida]]&amp;" : "&amp;Tabla1[[#This Row],[Descripción larga]]</f>
        <v>X-02 : MO - PLANTA DE TRATAMIENTO</v>
      </c>
    </row>
    <row r="636" spans="2:6" ht="14.45" x14ac:dyDescent="0.35">
      <c r="B636" s="31" t="s">
        <v>2315</v>
      </c>
      <c r="C636" s="31" t="s">
        <v>2315</v>
      </c>
      <c r="D636" s="31" t="s">
        <v>2316</v>
      </c>
      <c r="E636" s="35">
        <f>LEN(Tabla1[[#This Row],[Partida]])</f>
        <v>1</v>
      </c>
      <c r="F636" s="35" t="str">
        <f>Tabla1[[#This Row],[Partida]]&amp;" : "&amp;Tabla1[[#This Row],[Descripción larga]]</f>
        <v>Y : ACCESO A CENTRO - ETAPA 02</v>
      </c>
    </row>
    <row r="637" spans="2:6" ht="14.45" x14ac:dyDescent="0.35">
      <c r="B637" s="31" t="s">
        <v>2317</v>
      </c>
      <c r="C637" s="31" t="s">
        <v>2318</v>
      </c>
      <c r="D637" s="31" t="s">
        <v>2319</v>
      </c>
      <c r="E637" s="35">
        <f>LEN(Tabla1[[#This Row],[Partida]])</f>
        <v>4</v>
      </c>
      <c r="F637" s="35" t="str">
        <f>Tabla1[[#This Row],[Partida]]&amp;" : "&amp;Tabla1[[#This Row],[Descripción larga]]</f>
        <v>Y-01 : TERRACERIAS - ACCESO ETAPA 02</v>
      </c>
    </row>
    <row r="638" spans="2:6" ht="14.45" x14ac:dyDescent="0.35">
      <c r="B638" s="31" t="s">
        <v>2320</v>
      </c>
      <c r="C638" s="31" t="s">
        <v>2321</v>
      </c>
      <c r="D638" s="31" t="s">
        <v>2322</v>
      </c>
      <c r="E638" s="35">
        <f>LEN(Tabla1[[#This Row],[Partida]])</f>
        <v>7</v>
      </c>
      <c r="F638" s="35" t="str">
        <f>Tabla1[[#This Row],[Partida]]&amp;" : "&amp;Tabla1[[#This Row],[Descripción larga]]</f>
        <v>Y-01-01 : SUBCONTRATOS - TERRACERIAS - ACCESO ETAPA 02</v>
      </c>
    </row>
    <row r="639" spans="2:6" ht="14.45" x14ac:dyDescent="0.35">
      <c r="B639" s="31" t="s">
        <v>2323</v>
      </c>
      <c r="C639" s="31" t="s">
        <v>2323</v>
      </c>
      <c r="D639" s="31" t="s">
        <v>2324</v>
      </c>
      <c r="E639" s="35">
        <f>LEN(Tabla1[[#This Row],[Partida]])</f>
        <v>1</v>
      </c>
      <c r="F639" s="35" t="str">
        <f>Tabla1[[#This Row],[Partida]]&amp;" : "&amp;Tabla1[[#This Row],[Descripción larga]]</f>
        <v>Z : ACCESO A CENTRO - ETAPA 03</v>
      </c>
    </row>
    <row r="640" spans="2:6" ht="14.45" x14ac:dyDescent="0.35">
      <c r="B640" s="31" t="s">
        <v>2325</v>
      </c>
      <c r="C640" s="31" t="s">
        <v>2326</v>
      </c>
      <c r="D640" s="31" t="s">
        <v>2327</v>
      </c>
      <c r="E640" s="35">
        <f>LEN(Tabla1[[#This Row],[Partida]])</f>
        <v>4</v>
      </c>
      <c r="F640" s="35" t="str">
        <f>Tabla1[[#This Row],[Partida]]&amp;" : "&amp;Tabla1[[#This Row],[Descripción larga]]</f>
        <v>Z-01 : ALBAÑILERIAS - ACCESO ETAPA 03</v>
      </c>
    </row>
    <row r="641" spans="2:6" ht="14.45" x14ac:dyDescent="0.35">
      <c r="B641" s="31" t="s">
        <v>2328</v>
      </c>
      <c r="C641" s="31" t="s">
        <v>2329</v>
      </c>
      <c r="D641" s="31" t="s">
        <v>2330</v>
      </c>
      <c r="E641" s="35">
        <f>LEN(Tabla1[[#This Row],[Partida]])</f>
        <v>7</v>
      </c>
      <c r="F641" s="35" t="str">
        <f>Tabla1[[#This Row],[Partida]]&amp;" : "&amp;Tabla1[[#This Row],[Descripción larga]]</f>
        <v>Z-01-01 : MATERIALES, HERR Y EQ - ALBAÑILERIAS - ACCESO ETAPA 03</v>
      </c>
    </row>
    <row r="642" spans="2:6" ht="14.45" x14ac:dyDescent="0.35">
      <c r="B642" s="31" t="s">
        <v>2331</v>
      </c>
      <c r="C642" s="31" t="s">
        <v>2332</v>
      </c>
      <c r="D642" s="31" t="s">
        <v>2333</v>
      </c>
      <c r="E642" s="35">
        <f>LEN(Tabla1[[#This Row],[Partida]])</f>
        <v>7</v>
      </c>
      <c r="F642" s="35" t="str">
        <f>Tabla1[[#This Row],[Partida]]&amp;" : "&amp;Tabla1[[#This Row],[Descripción larga]]</f>
        <v>Z-01-20 : MO - ALBAÑILERIAS - ACCESO ETAPA 03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a77c65-1b17-48ba-9f4e-8ac66a8b6fff" xsi:nil="true"/>
    <lcf76f155ced4ddcb4097134ff3c332f xmlns="c176c41d-38ac-4550-ad89-9b5bc568ea2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72CB336A020204AA7DE791DA0DB70F9" ma:contentTypeVersion="18" ma:contentTypeDescription="Crear nuevo documento." ma:contentTypeScope="" ma:versionID="1eeabfdb05770b2b0a0effe817debf7c">
  <xsd:schema xmlns:xsd="http://www.w3.org/2001/XMLSchema" xmlns:xs="http://www.w3.org/2001/XMLSchema" xmlns:p="http://schemas.microsoft.com/office/2006/metadata/properties" xmlns:ns2="c176c41d-38ac-4550-ad89-9b5bc568ea26" xmlns:ns3="b8a77c65-1b17-48ba-9f4e-8ac66a8b6fff" targetNamespace="http://schemas.microsoft.com/office/2006/metadata/properties" ma:root="true" ma:fieldsID="35ac8f6a121dc6d4f483db700093263d" ns2:_="" ns3:_="">
    <xsd:import namespace="c176c41d-38ac-4550-ad89-9b5bc568ea26"/>
    <xsd:import namespace="b8a77c65-1b17-48ba-9f4e-8ac66a8b6f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76c41d-38ac-4550-ad89-9b5bc568e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29b7d5d-a574-4bc1-9fba-dc9728aa0f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77c65-1b17-48ba-9f4e-8ac66a8b6ff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e3def4fc-c6ad-4b6a-91b9-83827a204237}" ma:internalName="TaxCatchAll" ma:showField="CatchAllData" ma:web="b8a77c65-1b17-48ba-9f4e-8ac66a8b6f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55FE4C-CE77-4DF7-8007-B73F5184413D}">
  <ds:schemaRefs>
    <ds:schemaRef ds:uri="c176c41d-38ac-4550-ad89-9b5bc568ea26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b8a77c65-1b17-48ba-9f4e-8ac66a8b6fff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5537D76-2BF3-456B-BED5-C2AEB074FC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ADAA3F-8E7E-4618-893C-8405D31C26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76c41d-38ac-4550-ad89-9b5bc568ea26"/>
    <ds:schemaRef ds:uri="b8a77c65-1b17-48ba-9f4e-8ac66a8b6f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2</vt:i4>
      </vt:variant>
    </vt:vector>
  </HeadingPairs>
  <TitlesOfParts>
    <vt:vector size="7" baseType="lpstr">
      <vt:lpstr>Solicitud_Mov</vt:lpstr>
      <vt:lpstr>Hoja1</vt:lpstr>
      <vt:lpstr>Hoja2</vt:lpstr>
      <vt:lpstr>Partidas</vt:lpstr>
      <vt:lpstr>EXTRACCION ERP</vt:lpstr>
      <vt:lpstr>Solicitud_Mov!Área_de_impresión</vt:lpstr>
      <vt:lpstr>VALIDACION_PARTIDAS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PROSER Ci5</dc:creator>
  <cp:keywords/>
  <dc:description/>
  <cp:lastModifiedBy>Eddie Cobo</cp:lastModifiedBy>
  <cp:revision/>
  <dcterms:created xsi:type="dcterms:W3CDTF">2016-07-26T16:02:47Z</dcterms:created>
  <dcterms:modified xsi:type="dcterms:W3CDTF">2026-10-01T15:27:51Z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0x010100172CB336A020204AA7DE791DA0DB70F9</vt:lpwstr>
  </property>
  <property fmtid="{D5CDD505-2E9C-101B-9397-08002B2CF9AE}" pid="3" name="MediaServiceImageTags">
    <vt:lpwstr/>
  </property>
</Properties>
</file>